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17"/>
  <workbookPr defaultThemeVersion="166925"/>
  <xr:revisionPtr revIDLastSave="0" documentId="8_{AE696CCE-2384-4987-AA5F-B2C4A20F2983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Hoja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7" i="1" l="1"/>
</calcChain>
</file>

<file path=xl/sharedStrings.xml><?xml version="1.0" encoding="utf-8"?>
<sst xmlns="http://schemas.openxmlformats.org/spreadsheetml/2006/main" count="292" uniqueCount="191">
  <si>
    <t>SmartPark</t>
  </si>
  <si>
    <t>Título del Proyecto</t>
  </si>
  <si>
    <t>Fecha inicio</t>
  </si>
  <si>
    <t>Duracion del proyecto en dias</t>
  </si>
  <si>
    <t>Gerente del Proyecto</t>
  </si>
  <si>
    <t>Fecha Fin</t>
  </si>
  <si>
    <t>Ilvar Camelo</t>
  </si>
  <si>
    <t>WBS No.</t>
  </si>
  <si>
    <t>Nombre de la tarea</t>
  </si>
  <si>
    <t>Estado</t>
  </si>
  <si>
    <t>Asignado a</t>
  </si>
  <si>
    <t>Fecha  inicio</t>
  </si>
  <si>
    <t>Fecha fin</t>
  </si>
  <si>
    <t>Duración (en días)</t>
  </si>
  <si>
    <t>Comentarios</t>
  </si>
  <si>
    <t>Concepción e Inicio del Proyecto</t>
  </si>
  <si>
    <t>19/08/2026</t>
  </si>
  <si>
    <t>22/08/2026</t>
  </si>
  <si>
    <t>I-01</t>
  </si>
  <si>
    <t>Elaborar Acta de Constitución del Proyecto</t>
  </si>
  <si>
    <t>Completo</t>
  </si>
  <si>
    <t>Johan Camilo (PM)</t>
  </si>
  <si>
    <t>20/08/2026</t>
  </si>
  <si>
    <t>No Iniciado</t>
  </si>
  <si>
    <t>I-02</t>
  </si>
  <si>
    <t>Identificar interesados del proyecto</t>
  </si>
  <si>
    <t>Johan Camilo</t>
  </si>
  <si>
    <t>21/08/2026</t>
  </si>
  <si>
    <t>En progreso</t>
  </si>
  <si>
    <t>I-03</t>
  </si>
  <si>
    <t>Elaborar lista general de actividades</t>
  </si>
  <si>
    <t>Definición y Planificación del Proyecto</t>
  </si>
  <si>
    <t>23/08/2026</t>
  </si>
  <si>
    <t>P-01</t>
  </si>
  <si>
    <t>Definir alcance y objetivos operativos</t>
  </si>
  <si>
    <t>PM / Equipo</t>
  </si>
  <si>
    <t>24/08/2026</t>
  </si>
  <si>
    <t>En Espera</t>
  </si>
  <si>
    <t>P-02</t>
  </si>
  <si>
    <t>Levantar y validar requisitos</t>
  </si>
  <si>
    <t>Juan Sebastián Sánchez</t>
  </si>
  <si>
    <t>25/08/2026</t>
  </si>
  <si>
    <t>26/08/2026</t>
  </si>
  <si>
    <t>P-03</t>
  </si>
  <si>
    <t>Elaborar y aprobar SRS</t>
  </si>
  <si>
    <t>27/08/2026</t>
  </si>
  <si>
    <t>28/08/2026</t>
  </si>
  <si>
    <t>P-04</t>
  </si>
  <si>
    <t>Definir EDT/WBS</t>
  </si>
  <si>
    <t>29/08/2026</t>
  </si>
  <si>
    <t>30/08/2026</t>
  </si>
  <si>
    <t>P-05</t>
  </si>
  <si>
    <t>Elaborar cronograma</t>
  </si>
  <si>
    <t>31/08/2026</t>
  </si>
  <si>
    <t>P-06</t>
  </si>
  <si>
    <t>Planificar recursos</t>
  </si>
  <si>
    <t>P-07</t>
  </si>
  <si>
    <t>Planificar presupuesto y costos</t>
  </si>
  <si>
    <t>P-08</t>
  </si>
  <si>
    <t>Elaborar plan de riesgos</t>
  </si>
  <si>
    <t>Equipo</t>
  </si>
  <si>
    <t>P-09</t>
  </si>
  <si>
    <t>Definir plan de calidad</t>
  </si>
  <si>
    <t>Jhoan Molina (QA)</t>
  </si>
  <si>
    <t>P-10</t>
  </si>
  <si>
    <t>Definir plan de comunicaciones</t>
  </si>
  <si>
    <t>Lanzamiento y Ejecución del Proyecto</t>
  </si>
  <si>
    <t>27/10/2026</t>
  </si>
  <si>
    <t>E-01</t>
  </si>
  <si>
    <t>Validar requisitos con interesados</t>
  </si>
  <si>
    <t>E-02</t>
  </si>
  <si>
    <t>Gestionar cambios y priorizar requisitos</t>
  </si>
  <si>
    <t>PM / Analista</t>
  </si>
  <si>
    <t>E-03</t>
  </si>
  <si>
    <t>Diseñar arquitectura general de la solución</t>
  </si>
  <si>
    <t>Sergio Galvis</t>
  </si>
  <si>
    <t>13/09/2026</t>
  </si>
  <si>
    <t>E-04</t>
  </si>
  <si>
    <t>Diseñar modelo de datos</t>
  </si>
  <si>
    <t>14/09/2026</t>
  </si>
  <si>
    <t>15/09/2026</t>
  </si>
  <si>
    <t>E-05</t>
  </si>
  <si>
    <t>Diseñar arquitectura API REST</t>
  </si>
  <si>
    <t>16/09/2026</t>
  </si>
  <si>
    <t>17/09/2026</t>
  </si>
  <si>
    <t>E-06</t>
  </si>
  <si>
    <t>Diseñar prototipo navegable UI/UX</t>
  </si>
  <si>
    <t>Daniel Malagón</t>
  </si>
  <si>
    <t>18/09/2026</t>
  </si>
  <si>
    <t>19/09/2026</t>
  </si>
  <si>
    <t>E-07</t>
  </si>
  <si>
    <t>Validar prototipo UI/UX</t>
  </si>
  <si>
    <t>20/09/2026</t>
  </si>
  <si>
    <t>E-08</t>
  </si>
  <si>
    <t>Configurar repositorio y entorno de desarrollo</t>
  </si>
  <si>
    <t>21/09/2026</t>
  </si>
  <si>
    <t>22/09/2026</t>
  </si>
  <si>
    <t>E-09</t>
  </si>
  <si>
    <t>Implementar captura de ubicación GPS</t>
  </si>
  <si>
    <t>Jhoan Molina</t>
  </si>
  <si>
    <t>23/09/2026</t>
  </si>
  <si>
    <t>24/09/2026</t>
  </si>
  <si>
    <t>E-10</t>
  </si>
  <si>
    <t>Implementar búsqueda por destino</t>
  </si>
  <si>
    <t>25/09/2026</t>
  </si>
  <si>
    <t>26/09/2026</t>
  </si>
  <si>
    <t>E-11</t>
  </si>
  <si>
    <t>Implementar mapa dinámico y radio de búsqueda</t>
  </si>
  <si>
    <t>27/09/2026</t>
  </si>
  <si>
    <t>28/09/2026</t>
  </si>
  <si>
    <t>E-12</t>
  </si>
  <si>
    <t>Implementar consulta y comparación de tarifas</t>
  </si>
  <si>
    <t>29/09/2026</t>
  </si>
  <si>
    <t>30/09/2026</t>
  </si>
  <si>
    <t>E-13</t>
  </si>
  <si>
    <t>Implementar módulo de reseñas y calificaciones</t>
  </si>
  <si>
    <t>E-14</t>
  </si>
  <si>
    <t>Implementar perfil y autenticación segura</t>
  </si>
  <si>
    <t>Johan Camilo / Jhoan Molina</t>
  </si>
  <si>
    <t>E-15</t>
  </si>
  <si>
    <t>Implementar backend y servicios API</t>
  </si>
  <si>
    <t>E-16</t>
  </si>
  <si>
    <t>Implementar panel web para administradores</t>
  </si>
  <si>
    <t>E-17</t>
  </si>
  <si>
    <t>Integrar actualización de tarifas</t>
  </si>
  <si>
    <t>E-18</t>
  </si>
  <si>
    <t>Configurar infraestructura cloud</t>
  </si>
  <si>
    <t>13/10/2026</t>
  </si>
  <si>
    <t>14/10/2026</t>
  </si>
  <si>
    <t>E-19</t>
  </si>
  <si>
    <t>Poblar y auditar directorio inicial</t>
  </si>
  <si>
    <t>15/10/2026</t>
  </si>
  <si>
    <t>16/10/2026</t>
  </si>
  <si>
    <t>E-20</t>
  </si>
  <si>
    <t>Diseñar casos y escenarios de prueba</t>
  </si>
  <si>
    <t>17/10/2026</t>
  </si>
  <si>
    <t>E-21</t>
  </si>
  <si>
    <t>Ejecutar pruebas funcionales</t>
  </si>
  <si>
    <t>18/10/2026</t>
  </si>
  <si>
    <t>E-22</t>
  </si>
  <si>
    <t>Ejecutar pruebas de rendimiento, estrés y carga</t>
  </si>
  <si>
    <t>19/10/2026</t>
  </si>
  <si>
    <t>20/10/2026</t>
  </si>
  <si>
    <t>E-23</t>
  </si>
  <si>
    <t>Corregir hallazgos y validar calidad</t>
  </si>
  <si>
    <t>Equipo Desarrollo</t>
  </si>
  <si>
    <t>21/10/2026</t>
  </si>
  <si>
    <t>22/10/2026</t>
  </si>
  <si>
    <t>E-24</t>
  </si>
  <si>
    <t>Preparar despliegue Beta</t>
  </si>
  <si>
    <t>23/10/2026</t>
  </si>
  <si>
    <t>E-25</t>
  </si>
  <si>
    <t>Realizar pruebas de campo en Bogotá</t>
  </si>
  <si>
    <t>Equipo Proyecto</t>
  </si>
  <si>
    <t>24/10/2026</t>
  </si>
  <si>
    <t>25/10/2026</t>
  </si>
  <si>
    <t>E-26</t>
  </si>
  <si>
    <t>Ajustar y validar versión Beta</t>
  </si>
  <si>
    <t>26/10/2026</t>
  </si>
  <si>
    <t>Monitoreo y Control</t>
  </si>
  <si>
    <t>28/10/2026</t>
  </si>
  <si>
    <t>MC-01</t>
  </si>
  <si>
    <t>Monitorear avance del cronograma</t>
  </si>
  <si>
    <t>29/10/2026</t>
  </si>
  <si>
    <t>MC-02</t>
  </si>
  <si>
    <t>Controlar costos y presupuesto</t>
  </si>
  <si>
    <t>30/10/2026</t>
  </si>
  <si>
    <t>31/10/2026</t>
  </si>
  <si>
    <t>MC-03</t>
  </si>
  <si>
    <t>Monitorear riesgos e implementar respuestas</t>
  </si>
  <si>
    <t>MC-04</t>
  </si>
  <si>
    <t>Controlar calidad de entregables</t>
  </si>
  <si>
    <t>MC-05</t>
  </si>
  <si>
    <t>Gestionar solicitudes de cambio</t>
  </si>
  <si>
    <t>MC-06</t>
  </si>
  <si>
    <t>Realizar seguimiento de indicadores</t>
  </si>
  <si>
    <t>Cierre y entregables</t>
  </si>
  <si>
    <t>14/11/2026</t>
  </si>
  <si>
    <t>C-01</t>
  </si>
  <si>
    <t>Preparar documentación y entregables de cierre</t>
  </si>
  <si>
    <t>C-02</t>
  </si>
  <si>
    <t>Verificar aceptación de los entregables</t>
  </si>
  <si>
    <t>Docente / Sponsor</t>
  </si>
  <si>
    <t>C-03</t>
  </si>
  <si>
    <t>Realizar sustentación académica y cierre</t>
  </si>
  <si>
    <t>Equipo Completo</t>
  </si>
  <si>
    <t>C-04</t>
  </si>
  <si>
    <t>Documentar lecciones aprendidas</t>
  </si>
  <si>
    <t>13/11/2026</t>
  </si>
  <si>
    <t>C-05</t>
  </si>
  <si>
    <t>Cerrar administrativa y formalmente el proyecto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</si>
</sst>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"/>
    <numFmt numFmtId="165" formatCode="m/d;@"/>
  </numFmts>
  <fonts count="14">
    <font>
      <sz val="11"/>
      <color theme="1"/>
      <name val="Calibri"/>
      <family val="2"/>
      <scheme val="minor"/>
    </font>
    <font>
      <b/>
      <sz val="28"/>
      <color rgb="FF001033"/>
      <name val="Century Gothic"/>
      <family val="1"/>
    </font>
    <font>
      <sz val="10"/>
      <color theme="1"/>
      <name val="Century Gothic"/>
      <family val="1"/>
    </font>
    <font>
      <b/>
      <sz val="11"/>
      <color rgb="FF001033"/>
      <name val="Century Gothic"/>
      <family val="1"/>
    </font>
    <font>
      <b/>
      <sz val="10"/>
      <color rgb="FF001033"/>
      <name val="Century Gothic"/>
      <family val="1"/>
    </font>
    <font>
      <sz val="10"/>
      <color rgb="FF000000"/>
      <name val="Century Gothic"/>
      <family val="1"/>
    </font>
    <font>
      <b/>
      <sz val="10"/>
      <color theme="1"/>
      <name val="Century Gothic"/>
      <family val="1"/>
    </font>
    <font>
      <sz val="12"/>
      <color rgb="FF000000"/>
      <name val="Century Gothic"/>
      <family val="1"/>
    </font>
    <font>
      <sz val="12"/>
      <color theme="1"/>
      <name val="Century Gothic"/>
      <family val="1"/>
    </font>
    <font>
      <sz val="11"/>
      <color theme="0"/>
      <name val="Calibri"/>
      <family val="2"/>
      <scheme val="minor"/>
    </font>
    <font>
      <b/>
      <sz val="12"/>
      <color theme="0"/>
      <name val="Century Gothic"/>
      <family val="1"/>
    </font>
    <font>
      <b/>
      <sz val="12"/>
      <color theme="0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rgb="FF000000"/>
      <name val="Century Gothic"/>
      <family val="1"/>
    </font>
  </fonts>
  <fills count="1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3" tint="0.39997558519241921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 tint="-0.249977111117893"/>
        <bgColor indexed="64"/>
      </patternFill>
    </fill>
    <fill>
      <patternFill patternType="solid">
        <fgColor rgb="FF7030A0"/>
        <bgColor indexed="64"/>
      </patternFill>
    </fill>
  </fills>
  <borders count="10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74">
    <xf numFmtId="0" fontId="0" fillId="0" borderId="0" xfId="0"/>
    <xf numFmtId="0" fontId="2" fillId="2" borderId="0" xfId="0" applyFont="1" applyFill="1" applyAlignment="1">
      <alignment wrapText="1"/>
    </xf>
    <xf numFmtId="0" fontId="2" fillId="2" borderId="0" xfId="0" applyFont="1" applyFill="1" applyAlignment="1">
      <alignment vertical="center" wrapText="1"/>
    </xf>
    <xf numFmtId="0" fontId="2" fillId="2" borderId="0" xfId="0" applyFont="1" applyFill="1" applyAlignment="1">
      <alignment horizontal="left" vertical="center" wrapText="1" indent="1"/>
    </xf>
    <xf numFmtId="0" fontId="2" fillId="2" borderId="0" xfId="0" applyFont="1" applyFill="1" applyAlignment="1">
      <alignment horizontal="left" vertical="center" wrapText="1"/>
    </xf>
    <xf numFmtId="0" fontId="7" fillId="2" borderId="1" xfId="0" applyFont="1" applyFill="1" applyBorder="1" applyAlignment="1">
      <alignment horizontal="left" vertical="center" indent="1"/>
    </xf>
    <xf numFmtId="14" fontId="0" fillId="0" borderId="0" xfId="0" applyNumberFormat="1"/>
    <xf numFmtId="0" fontId="3" fillId="4" borderId="1" xfId="0" applyFont="1" applyFill="1" applyBorder="1" applyAlignment="1">
      <alignment horizontal="left" vertical="center" wrapText="1" indent="1"/>
    </xf>
    <xf numFmtId="0" fontId="3" fillId="5" borderId="1" xfId="0" applyFont="1" applyFill="1" applyBorder="1" applyAlignment="1">
      <alignment horizontal="left" vertical="center" wrapText="1" indent="1"/>
    </xf>
    <xf numFmtId="0" fontId="1" fillId="2" borderId="3" xfId="0" applyFont="1" applyFill="1" applyBorder="1" applyAlignment="1">
      <alignment horizontal="center" vertical="center"/>
    </xf>
    <xf numFmtId="0" fontId="1" fillId="2" borderId="4" xfId="0" applyFont="1" applyFill="1" applyBorder="1" applyAlignment="1">
      <alignment horizontal="center" vertical="center"/>
    </xf>
    <xf numFmtId="0" fontId="1" fillId="2" borderId="5" xfId="0" applyFont="1" applyFill="1" applyBorder="1" applyAlignment="1">
      <alignment horizontal="center" vertical="center"/>
    </xf>
    <xf numFmtId="0" fontId="4" fillId="4" borderId="1" xfId="0" applyFont="1" applyFill="1" applyBorder="1" applyAlignment="1">
      <alignment horizontal="left" vertical="center" wrapText="1" indent="1"/>
    </xf>
    <xf numFmtId="0" fontId="5" fillId="8" borderId="1" xfId="0" applyFont="1" applyFill="1" applyBorder="1" applyAlignment="1">
      <alignment horizontal="left" vertical="center" wrapText="1" indent="1" readingOrder="1"/>
    </xf>
    <xf numFmtId="0" fontId="5" fillId="9" borderId="1" xfId="0" applyFont="1" applyFill="1" applyBorder="1" applyAlignment="1">
      <alignment horizontal="left" vertical="center" wrapText="1" indent="1" readingOrder="1"/>
    </xf>
    <xf numFmtId="0" fontId="2" fillId="10" borderId="1" xfId="0" applyFont="1" applyFill="1" applyBorder="1" applyAlignment="1">
      <alignment horizontal="left" vertical="center" wrapText="1" indent="1"/>
    </xf>
    <xf numFmtId="0" fontId="6" fillId="0" borderId="0" xfId="0" applyFont="1" applyFill="1" applyBorder="1" applyAlignment="1">
      <alignment horizontal="left" vertical="center" wrapText="1" indent="1"/>
    </xf>
    <xf numFmtId="0" fontId="2" fillId="7" borderId="6" xfId="0" applyFont="1" applyFill="1" applyBorder="1" applyAlignment="1">
      <alignment horizontal="left" vertical="center" wrapText="1" indent="1"/>
    </xf>
    <xf numFmtId="0" fontId="10" fillId="6" borderId="1" xfId="0" applyFont="1" applyFill="1" applyBorder="1" applyAlignment="1">
      <alignment horizontal="left" vertical="center" indent="1"/>
    </xf>
    <xf numFmtId="0" fontId="10" fillId="12" borderId="1" xfId="0" applyFont="1" applyFill="1" applyBorder="1" applyAlignment="1">
      <alignment horizontal="left" vertical="center" wrapText="1" indent="1"/>
    </xf>
    <xf numFmtId="0" fontId="10" fillId="11" borderId="1" xfId="0" applyFont="1" applyFill="1" applyBorder="1" applyAlignment="1">
      <alignment horizontal="left" vertical="center" wrapText="1" indent="1"/>
    </xf>
    <xf numFmtId="0" fontId="11" fillId="11" borderId="1" xfId="0" applyFont="1" applyFill="1" applyBorder="1" applyAlignment="1">
      <alignment horizontal="center" vertical="center" wrapText="1"/>
    </xf>
    <xf numFmtId="0" fontId="10" fillId="11" borderId="1" xfId="0" applyFont="1" applyFill="1" applyBorder="1" applyAlignment="1">
      <alignment horizontal="center" vertical="center" wrapText="1" indent="1"/>
    </xf>
    <xf numFmtId="0" fontId="12" fillId="0" borderId="1" xfId="0" applyFont="1" applyBorder="1" applyAlignment="1">
      <alignment vertical="center"/>
    </xf>
    <xf numFmtId="0" fontId="7" fillId="2" borderId="1" xfId="0" applyFont="1" applyFill="1" applyBorder="1" applyAlignment="1">
      <alignment horizontal="left" vertical="center" wrapText="1" indent="1" readingOrder="1"/>
    </xf>
    <xf numFmtId="0" fontId="13" fillId="2" borderId="1" xfId="0" applyFont="1" applyFill="1" applyBorder="1" applyAlignment="1">
      <alignment horizontal="left" vertical="center" wrapText="1" indent="1"/>
    </xf>
    <xf numFmtId="0" fontId="12" fillId="0" borderId="1" xfId="0" applyFont="1" applyBorder="1" applyAlignment="1">
      <alignment horizontal="center" vertical="center" wrapText="1"/>
    </xf>
    <xf numFmtId="0" fontId="7" fillId="2" borderId="1" xfId="0" applyFont="1" applyFill="1" applyBorder="1" applyAlignment="1">
      <alignment horizontal="left" vertical="center" wrapText="1" indent="1"/>
    </xf>
    <xf numFmtId="0" fontId="8" fillId="0" borderId="1" xfId="0" applyFont="1" applyBorder="1" applyAlignment="1">
      <alignment horizontal="left" vertical="center" wrapText="1" indent="2"/>
    </xf>
    <xf numFmtId="165" fontId="7" fillId="2" borderId="1" xfId="0" applyNumberFormat="1" applyFont="1" applyFill="1" applyBorder="1" applyAlignment="1">
      <alignment horizontal="left" vertical="center" wrapText="1" indent="1" readingOrder="1"/>
    </xf>
    <xf numFmtId="0" fontId="8" fillId="2" borderId="1" xfId="0" applyFont="1" applyFill="1" applyBorder="1" applyAlignment="1">
      <alignment horizontal="left" vertical="center" wrapText="1" indent="1"/>
    </xf>
    <xf numFmtId="0" fontId="11" fillId="12" borderId="1" xfId="0" applyFont="1" applyFill="1" applyBorder="1" applyAlignment="1">
      <alignment horizontal="center" vertical="center" wrapText="1"/>
    </xf>
    <xf numFmtId="14" fontId="11" fillId="12" borderId="1" xfId="0" applyNumberFormat="1" applyFont="1" applyFill="1" applyBorder="1" applyAlignment="1">
      <alignment horizontal="center" vertical="center" wrapText="1"/>
    </xf>
    <xf numFmtId="0" fontId="10" fillId="12" borderId="1" xfId="0" applyFont="1" applyFill="1" applyBorder="1" applyAlignment="1">
      <alignment horizontal="center" vertical="center" wrapText="1" indent="1"/>
    </xf>
    <xf numFmtId="14" fontId="12" fillId="0" borderId="1" xfId="0" applyNumberFormat="1" applyFont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left" vertical="center" wrapText="1" indent="1"/>
    </xf>
    <xf numFmtId="14" fontId="11" fillId="13" borderId="1" xfId="0" applyNumberFormat="1" applyFont="1" applyFill="1" applyBorder="1" applyAlignment="1">
      <alignment horizontal="center" vertical="center" wrapText="1"/>
    </xf>
    <xf numFmtId="0" fontId="11" fillId="13" borderId="1" xfId="0" applyFont="1" applyFill="1" applyBorder="1" applyAlignment="1">
      <alignment horizontal="center" vertical="center" wrapText="1"/>
    </xf>
    <xf numFmtId="0" fontId="10" fillId="13" borderId="1" xfId="0" applyFont="1" applyFill="1" applyBorder="1" applyAlignment="1">
      <alignment horizontal="center" vertical="center" wrapText="1" indent="1"/>
    </xf>
    <xf numFmtId="0" fontId="12" fillId="0" borderId="1" xfId="0" applyNumberFormat="1" applyFont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left" vertical="center" wrapText="1" indent="1"/>
    </xf>
    <xf numFmtId="0" fontId="11" fillId="14" borderId="1" xfId="0" applyFont="1" applyFill="1" applyBorder="1" applyAlignment="1">
      <alignment horizontal="center" vertical="center" wrapText="1"/>
    </xf>
    <xf numFmtId="0" fontId="10" fillId="14" borderId="1" xfId="0" applyFont="1" applyFill="1" applyBorder="1" applyAlignment="1">
      <alignment horizontal="center" vertical="center" wrapText="1" indent="1"/>
    </xf>
    <xf numFmtId="0" fontId="10" fillId="15" borderId="1" xfId="0" applyFont="1" applyFill="1" applyBorder="1" applyAlignment="1">
      <alignment horizontal="left" vertical="center" wrapText="1" indent="1"/>
    </xf>
    <xf numFmtId="0" fontId="10" fillId="15" borderId="1" xfId="0" applyFont="1" applyFill="1" applyBorder="1" applyAlignment="1">
      <alignment horizontal="center" vertical="center" wrapText="1" indent="1"/>
    </xf>
    <xf numFmtId="0" fontId="8" fillId="2" borderId="3" xfId="0" applyFont="1" applyFill="1" applyBorder="1" applyAlignment="1">
      <alignment horizontal="center" vertical="center" wrapText="1"/>
    </xf>
    <xf numFmtId="0" fontId="8" fillId="2" borderId="5" xfId="0" applyFont="1" applyFill="1" applyBorder="1" applyAlignment="1">
      <alignment horizontal="center" vertical="center" wrapText="1"/>
    </xf>
    <xf numFmtId="0" fontId="8" fillId="2" borderId="1" xfId="0" applyFont="1" applyFill="1" applyBorder="1" applyAlignment="1">
      <alignment horizontal="center" vertical="center" wrapText="1"/>
    </xf>
    <xf numFmtId="0" fontId="8" fillId="2" borderId="2" xfId="0" applyFont="1" applyFill="1" applyBorder="1" applyAlignment="1">
      <alignment horizontal="center" vertical="center" wrapText="1"/>
    </xf>
    <xf numFmtId="0" fontId="8" fillId="0" borderId="3" xfId="0" applyFont="1" applyBorder="1" applyAlignment="1">
      <alignment horizontal="center" vertical="center" wrapText="1" indent="1"/>
    </xf>
    <xf numFmtId="0" fontId="8" fillId="0" borderId="5" xfId="0" applyFont="1" applyBorder="1" applyAlignment="1">
      <alignment horizontal="center" vertical="center" wrapText="1" indent="1"/>
    </xf>
    <xf numFmtId="164" fontId="8" fillId="0" borderId="3" xfId="0" applyNumberFormat="1" applyFont="1" applyBorder="1" applyAlignment="1">
      <alignment horizontal="center" vertical="center" wrapText="1" indent="1"/>
    </xf>
    <xf numFmtId="164" fontId="8" fillId="0" borderId="5" xfId="0" applyNumberFormat="1" applyFont="1" applyBorder="1" applyAlignment="1">
      <alignment horizontal="center" vertical="center" wrapText="1" indent="1"/>
    </xf>
    <xf numFmtId="0" fontId="8" fillId="2" borderId="1" xfId="0" applyFont="1" applyFill="1" applyBorder="1" applyAlignment="1">
      <alignment horizontal="center" wrapText="1"/>
    </xf>
    <xf numFmtId="0" fontId="8" fillId="2" borderId="6" xfId="0" applyFont="1" applyFill="1" applyBorder="1" applyAlignment="1">
      <alignment horizontal="center" vertical="center" wrapText="1"/>
    </xf>
    <xf numFmtId="1" fontId="8" fillId="3" borderId="2" xfId="0" applyNumberFormat="1" applyFont="1" applyFill="1" applyBorder="1" applyAlignment="1">
      <alignment horizontal="center" vertical="center" wrapText="1" indent="1"/>
    </xf>
    <xf numFmtId="0" fontId="8" fillId="2" borderId="3" xfId="0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1" fontId="8" fillId="3" borderId="6" xfId="0" applyNumberFormat="1" applyFont="1" applyFill="1" applyBorder="1" applyAlignment="1">
      <alignment horizontal="center" vertical="center" wrapText="1" indent="1"/>
    </xf>
    <xf numFmtId="0" fontId="8" fillId="2" borderId="7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10" fillId="14" borderId="3" xfId="0" applyFont="1" applyFill="1" applyBorder="1" applyAlignment="1">
      <alignment horizontal="left" vertical="center" wrapText="1" indent="1"/>
    </xf>
    <xf numFmtId="0" fontId="7" fillId="2" borderId="3" xfId="0" applyFont="1" applyFill="1" applyBorder="1" applyAlignment="1">
      <alignment horizontal="left" vertical="center" wrapText="1" indent="1" readingOrder="1"/>
    </xf>
    <xf numFmtId="0" fontId="10" fillId="15" borderId="3" xfId="0" applyFont="1" applyFill="1" applyBorder="1" applyAlignment="1">
      <alignment horizontal="left" vertical="center" wrapText="1" indent="1"/>
    </xf>
    <xf numFmtId="165" fontId="7" fillId="2" borderId="2" xfId="0" applyNumberFormat="1" applyFont="1" applyFill="1" applyBorder="1" applyAlignment="1">
      <alignment horizontal="left" vertical="center" wrapText="1" indent="1" readingOrder="1"/>
    </xf>
    <xf numFmtId="0" fontId="12" fillId="0" borderId="2" xfId="0" applyFont="1" applyBorder="1" applyAlignment="1">
      <alignment horizontal="center" vertical="center" wrapText="1"/>
    </xf>
    <xf numFmtId="0" fontId="8" fillId="2" borderId="2" xfId="0" applyFont="1" applyFill="1" applyBorder="1" applyAlignment="1">
      <alignment horizontal="left" vertical="center" wrapText="1" indent="1"/>
    </xf>
    <xf numFmtId="165" fontId="7" fillId="2" borderId="1" xfId="0" applyNumberFormat="1" applyFont="1" applyFill="1" applyBorder="1" applyAlignment="1">
      <alignment horizontal="center" vertical="center" wrapText="1" indent="1" readingOrder="1"/>
    </xf>
    <xf numFmtId="14" fontId="0" fillId="0" borderId="1" xfId="0" applyNumberFormat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14" fontId="9" fillId="14" borderId="1" xfId="0" applyNumberFormat="1" applyFont="1" applyFill="1" applyBorder="1" applyAlignment="1">
      <alignment horizontal="center" vertical="center"/>
    </xf>
    <xf numFmtId="14" fontId="9" fillId="15" borderId="1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6"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  <dxf>
      <fill>
        <patternFill>
          <bgColor theme="9" tint="0.39994506668294322"/>
        </patternFill>
      </fill>
    </dxf>
    <dxf>
      <fill>
        <patternFill>
          <bgColor theme="6" tint="0.39994506668294322"/>
        </patternFill>
      </fill>
    </dxf>
    <dxf>
      <fill>
        <patternFill>
          <bgColor theme="7" tint="0.59996337778862885"/>
        </patternFill>
      </fill>
    </dxf>
    <dxf>
      <fill>
        <patternFill>
          <bgColor theme="5" tint="0.39994506668294322"/>
        </patternFill>
      </fill>
    </dxf>
  </dxfs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D4:R66"/>
  <sheetViews>
    <sheetView tabSelected="1" topLeftCell="D6" workbookViewId="0">
      <selection activeCell="F12" sqref="F12:F14"/>
    </sheetView>
  </sheetViews>
  <sheetFormatPr defaultRowHeight="15"/>
  <cols>
    <col min="4" max="4" width="31.85546875" customWidth="1"/>
    <col min="5" max="5" width="56.85546875" customWidth="1"/>
    <col min="6" max="6" width="16.42578125" customWidth="1"/>
    <col min="7" max="7" width="18.28515625" customWidth="1"/>
    <col min="8" max="8" width="15.5703125" customWidth="1"/>
    <col min="9" max="9" width="16.7109375" customWidth="1"/>
    <col min="10" max="10" width="19.28515625" customWidth="1"/>
    <col min="11" max="11" width="17.7109375" customWidth="1"/>
    <col min="13" max="13" width="15.28515625" customWidth="1"/>
    <col min="17" max="18" width="11.42578125" bestFit="1" customWidth="1"/>
  </cols>
  <sheetData>
    <row r="4" spans="4:15" ht="34.5" customHeight="1">
      <c r="D4" s="9" t="s">
        <v>0</v>
      </c>
      <c r="E4" s="10"/>
      <c r="F4" s="10"/>
      <c r="G4" s="10"/>
      <c r="H4" s="10"/>
      <c r="I4" s="10"/>
      <c r="J4" s="10"/>
      <c r="K4" s="11"/>
      <c r="L4" s="1"/>
      <c r="N4" s="1"/>
      <c r="O4" s="1"/>
    </row>
    <row r="5" spans="4:15" ht="24.75" customHeight="1">
      <c r="D5" s="45" t="s">
        <v>1</v>
      </c>
      <c r="E5" s="46"/>
      <c r="F5" s="45" t="s">
        <v>2</v>
      </c>
      <c r="G5" s="46"/>
      <c r="H5" s="47"/>
      <c r="I5" s="47"/>
      <c r="J5" s="48" t="s">
        <v>3</v>
      </c>
      <c r="K5" s="47"/>
      <c r="L5" s="2"/>
      <c r="M5" s="2"/>
      <c r="N5" s="2"/>
      <c r="O5" s="2"/>
    </row>
    <row r="6" spans="4:15" ht="36.75" customHeight="1">
      <c r="D6" s="49" t="s">
        <v>0</v>
      </c>
      <c r="E6" s="50"/>
      <c r="F6" s="51">
        <v>46253</v>
      </c>
      <c r="G6" s="52"/>
      <c r="H6" s="53"/>
      <c r="I6" s="53"/>
      <c r="J6" s="54"/>
      <c r="K6" s="53"/>
      <c r="L6" s="1"/>
      <c r="M6" s="1"/>
      <c r="N6" s="1"/>
      <c r="O6" s="1"/>
    </row>
    <row r="7" spans="4:15" ht="36.75" customHeight="1">
      <c r="D7" s="45" t="s">
        <v>4</v>
      </c>
      <c r="E7" s="46"/>
      <c r="F7" s="45" t="s">
        <v>5</v>
      </c>
      <c r="G7" s="46"/>
      <c r="H7" s="47"/>
      <c r="I7" s="47"/>
      <c r="J7" s="55">
        <f>IF(F6=0,0,F8-F6)+1</f>
        <v>89</v>
      </c>
      <c r="K7" s="47"/>
      <c r="L7" s="2"/>
      <c r="M7" s="2"/>
      <c r="N7" s="2"/>
      <c r="O7" s="2"/>
    </row>
    <row r="8" spans="4:15" ht="17.25">
      <c r="D8" s="56" t="s">
        <v>6</v>
      </c>
      <c r="E8" s="57"/>
      <c r="F8" s="51">
        <v>46341</v>
      </c>
      <c r="G8" s="52"/>
      <c r="H8" s="53"/>
      <c r="I8" s="53"/>
      <c r="J8" s="58"/>
      <c r="K8" s="53"/>
      <c r="L8" s="1"/>
      <c r="M8" s="1"/>
      <c r="N8" s="1"/>
      <c r="O8" s="1"/>
    </row>
    <row r="9" spans="4:15" ht="17.25">
      <c r="D9" s="59"/>
      <c r="E9" s="60"/>
      <c r="F9" s="60"/>
      <c r="G9" s="60"/>
      <c r="H9" s="60"/>
      <c r="I9" s="60"/>
      <c r="J9" s="60"/>
      <c r="K9" s="61"/>
      <c r="L9" s="1"/>
      <c r="M9" s="1"/>
      <c r="N9" s="1"/>
      <c r="O9" s="1"/>
    </row>
    <row r="10" spans="4:15" ht="43.5" customHeight="1">
      <c r="D10" s="7" t="s">
        <v>7</v>
      </c>
      <c r="E10" s="7" t="s">
        <v>8</v>
      </c>
      <c r="F10" s="7" t="s">
        <v>9</v>
      </c>
      <c r="G10" s="7" t="s">
        <v>10</v>
      </c>
      <c r="H10" s="8" t="s">
        <v>11</v>
      </c>
      <c r="I10" s="8" t="s">
        <v>12</v>
      </c>
      <c r="J10" s="7" t="s">
        <v>13</v>
      </c>
      <c r="K10" s="7" t="s">
        <v>14</v>
      </c>
      <c r="L10" s="3"/>
      <c r="M10" s="16"/>
      <c r="N10" s="3"/>
      <c r="O10" s="3"/>
    </row>
    <row r="11" spans="4:15" ht="43.5" customHeight="1">
      <c r="D11" s="20">
        <v>1</v>
      </c>
      <c r="E11" s="18" t="s">
        <v>15</v>
      </c>
      <c r="F11" s="20"/>
      <c r="G11" s="20"/>
      <c r="H11" s="21" t="s">
        <v>16</v>
      </c>
      <c r="I11" s="21" t="s">
        <v>17</v>
      </c>
      <c r="J11" s="22">
        <v>4</v>
      </c>
      <c r="K11" s="20"/>
      <c r="L11" s="3"/>
      <c r="M11" s="12" t="s">
        <v>9</v>
      </c>
      <c r="N11" s="3"/>
      <c r="O11" s="3"/>
    </row>
    <row r="12" spans="4:15" ht="24.75" customHeight="1">
      <c r="D12" s="23" t="s">
        <v>18</v>
      </c>
      <c r="E12" s="5" t="s">
        <v>19</v>
      </c>
      <c r="F12" s="14" t="s">
        <v>20</v>
      </c>
      <c r="G12" s="25" t="s">
        <v>21</v>
      </c>
      <c r="H12" s="26" t="s">
        <v>16</v>
      </c>
      <c r="I12" s="26" t="s">
        <v>22</v>
      </c>
      <c r="J12" s="26">
        <v>2</v>
      </c>
      <c r="K12" s="27"/>
      <c r="L12" s="4"/>
      <c r="M12" s="17" t="s">
        <v>23</v>
      </c>
      <c r="N12" s="4"/>
      <c r="O12" s="4"/>
    </row>
    <row r="13" spans="4:15" ht="24.75" customHeight="1">
      <c r="D13" s="23" t="s">
        <v>24</v>
      </c>
      <c r="E13" s="28" t="s">
        <v>25</v>
      </c>
      <c r="F13" s="14" t="s">
        <v>20</v>
      </c>
      <c r="G13" s="29" t="s">
        <v>26</v>
      </c>
      <c r="H13" s="26" t="s">
        <v>27</v>
      </c>
      <c r="I13" s="26" t="s">
        <v>27</v>
      </c>
      <c r="J13" s="26">
        <v>1</v>
      </c>
      <c r="K13" s="30"/>
      <c r="L13" s="4"/>
      <c r="M13" s="13" t="s">
        <v>28</v>
      </c>
      <c r="N13" s="4"/>
      <c r="O13" s="4"/>
    </row>
    <row r="14" spans="4:15" ht="24.75" customHeight="1">
      <c r="D14" s="23" t="s">
        <v>29</v>
      </c>
      <c r="E14" s="28" t="s">
        <v>30</v>
      </c>
      <c r="F14" s="14" t="s">
        <v>20</v>
      </c>
      <c r="G14" s="29" t="s">
        <v>26</v>
      </c>
      <c r="H14" s="26" t="s">
        <v>17</v>
      </c>
      <c r="I14" s="26" t="s">
        <v>17</v>
      </c>
      <c r="J14" s="26">
        <v>1</v>
      </c>
      <c r="K14" s="30"/>
      <c r="L14" s="4"/>
      <c r="M14" s="14" t="s">
        <v>20</v>
      </c>
      <c r="N14" s="4"/>
      <c r="O14" s="4"/>
    </row>
    <row r="15" spans="4:15" ht="45.75" customHeight="1">
      <c r="D15" s="19">
        <v>2</v>
      </c>
      <c r="E15" s="19" t="s">
        <v>31</v>
      </c>
      <c r="F15" s="19"/>
      <c r="G15" s="19"/>
      <c r="H15" s="31" t="s">
        <v>32</v>
      </c>
      <c r="I15" s="32">
        <v>46274</v>
      </c>
      <c r="J15" s="33">
        <v>18</v>
      </c>
      <c r="K15" s="19"/>
      <c r="L15" s="4"/>
      <c r="M15" s="14"/>
      <c r="N15" s="4"/>
      <c r="O15" s="4"/>
    </row>
    <row r="16" spans="4:15" ht="28.5" customHeight="1">
      <c r="D16" s="23" t="s">
        <v>33</v>
      </c>
      <c r="E16" s="28" t="s">
        <v>34</v>
      </c>
      <c r="F16" s="24" t="s">
        <v>23</v>
      </c>
      <c r="G16" s="29" t="s">
        <v>35</v>
      </c>
      <c r="H16" s="26" t="s">
        <v>32</v>
      </c>
      <c r="I16" s="26" t="s">
        <v>36</v>
      </c>
      <c r="J16" s="26">
        <v>2</v>
      </c>
      <c r="K16" s="30"/>
      <c r="L16" s="4"/>
      <c r="M16" s="15" t="s">
        <v>37</v>
      </c>
      <c r="N16" s="4"/>
      <c r="O16" s="4"/>
    </row>
    <row r="17" spans="4:15" ht="34.5" customHeight="1">
      <c r="D17" s="23" t="s">
        <v>38</v>
      </c>
      <c r="E17" s="28" t="s">
        <v>39</v>
      </c>
      <c r="F17" s="24" t="s">
        <v>23</v>
      </c>
      <c r="G17" s="29" t="s">
        <v>40</v>
      </c>
      <c r="H17" s="26" t="s">
        <v>41</v>
      </c>
      <c r="I17" s="26" t="s">
        <v>42</v>
      </c>
      <c r="J17" s="26">
        <v>2</v>
      </c>
      <c r="K17" s="30"/>
      <c r="L17" s="4"/>
      <c r="M17" s="1"/>
      <c r="N17" s="4"/>
      <c r="O17" s="4"/>
    </row>
    <row r="18" spans="4:15" ht="35.25" customHeight="1">
      <c r="D18" s="23" t="s">
        <v>43</v>
      </c>
      <c r="E18" s="28" t="s">
        <v>44</v>
      </c>
      <c r="F18" s="24" t="s">
        <v>23</v>
      </c>
      <c r="G18" s="29" t="s">
        <v>40</v>
      </c>
      <c r="H18" s="26" t="s">
        <v>45</v>
      </c>
      <c r="I18" s="26" t="s">
        <v>46</v>
      </c>
      <c r="J18" s="26">
        <v>2</v>
      </c>
      <c r="K18" s="30"/>
      <c r="L18" s="4"/>
      <c r="M18" s="1"/>
      <c r="N18" s="4"/>
      <c r="O18" s="4"/>
    </row>
    <row r="19" spans="4:15" ht="37.5" customHeight="1">
      <c r="D19" s="23" t="s">
        <v>47</v>
      </c>
      <c r="E19" s="28" t="s">
        <v>48</v>
      </c>
      <c r="F19" s="24" t="s">
        <v>23</v>
      </c>
      <c r="G19" s="29" t="s">
        <v>26</v>
      </c>
      <c r="H19" s="26" t="s">
        <v>49</v>
      </c>
      <c r="I19" s="26" t="s">
        <v>50</v>
      </c>
      <c r="J19" s="26">
        <v>2</v>
      </c>
      <c r="K19" s="30"/>
      <c r="L19" s="4"/>
      <c r="M19" s="1"/>
      <c r="N19" s="4"/>
      <c r="O19" s="4"/>
    </row>
    <row r="20" spans="4:15" ht="42" customHeight="1">
      <c r="D20" s="23" t="s">
        <v>51</v>
      </c>
      <c r="E20" s="28" t="s">
        <v>52</v>
      </c>
      <c r="F20" s="24" t="s">
        <v>23</v>
      </c>
      <c r="G20" s="29" t="s">
        <v>26</v>
      </c>
      <c r="H20" s="26" t="s">
        <v>53</v>
      </c>
      <c r="I20" s="34">
        <v>46031</v>
      </c>
      <c r="J20" s="26">
        <v>2</v>
      </c>
      <c r="K20" s="30"/>
      <c r="L20" s="4"/>
      <c r="M20" s="1"/>
      <c r="N20" s="4"/>
      <c r="O20" s="4"/>
    </row>
    <row r="21" spans="4:15" ht="109.5" customHeight="1">
      <c r="D21" s="23" t="s">
        <v>54</v>
      </c>
      <c r="E21" s="28" t="s">
        <v>55</v>
      </c>
      <c r="F21" s="24" t="s">
        <v>23</v>
      </c>
      <c r="G21" s="29" t="s">
        <v>26</v>
      </c>
      <c r="H21" s="34">
        <v>46062</v>
      </c>
      <c r="I21" s="34">
        <v>46090</v>
      </c>
      <c r="J21" s="26">
        <v>2</v>
      </c>
      <c r="K21" s="30"/>
      <c r="L21" s="4"/>
      <c r="M21" s="1"/>
      <c r="N21" s="4"/>
      <c r="O21" s="4"/>
    </row>
    <row r="22" spans="4:15" ht="147.75" customHeight="1">
      <c r="D22" s="23" t="s">
        <v>56</v>
      </c>
      <c r="E22" s="28" t="s">
        <v>57</v>
      </c>
      <c r="F22" s="24" t="s">
        <v>23</v>
      </c>
      <c r="G22" s="29" t="s">
        <v>26</v>
      </c>
      <c r="H22" s="34">
        <v>46121</v>
      </c>
      <c r="I22" s="34">
        <v>46151</v>
      </c>
      <c r="J22" s="26">
        <v>2</v>
      </c>
      <c r="K22" s="30"/>
      <c r="L22" s="4"/>
      <c r="M22" s="1"/>
      <c r="N22" s="4"/>
      <c r="O22" s="4"/>
    </row>
    <row r="23" spans="4:15" ht="44.25" customHeight="1">
      <c r="D23" s="23" t="s">
        <v>58</v>
      </c>
      <c r="E23" s="28" t="s">
        <v>59</v>
      </c>
      <c r="F23" s="24" t="s">
        <v>23</v>
      </c>
      <c r="G23" s="29" t="s">
        <v>60</v>
      </c>
      <c r="H23" s="34">
        <v>46182</v>
      </c>
      <c r="I23" s="34">
        <v>46212</v>
      </c>
      <c r="J23" s="26">
        <v>2</v>
      </c>
      <c r="K23" s="30"/>
      <c r="L23" s="4"/>
      <c r="M23" s="1"/>
      <c r="N23" s="4"/>
      <c r="O23" s="4"/>
    </row>
    <row r="24" spans="4:15" ht="58.5" customHeight="1">
      <c r="D24" s="23" t="s">
        <v>61</v>
      </c>
      <c r="E24" s="28" t="s">
        <v>62</v>
      </c>
      <c r="F24" s="24" t="s">
        <v>23</v>
      </c>
      <c r="G24" s="29" t="s">
        <v>63</v>
      </c>
      <c r="H24" s="34">
        <v>46243</v>
      </c>
      <c r="I24" s="34">
        <v>46243</v>
      </c>
      <c r="J24" s="26">
        <v>1</v>
      </c>
      <c r="K24" s="30"/>
      <c r="L24" s="4"/>
      <c r="M24" s="1"/>
      <c r="N24" s="4"/>
      <c r="O24" s="4"/>
    </row>
    <row r="25" spans="4:15" ht="58.5" customHeight="1">
      <c r="D25" s="23" t="s">
        <v>64</v>
      </c>
      <c r="E25" s="28" t="s">
        <v>65</v>
      </c>
      <c r="F25" s="24" t="s">
        <v>23</v>
      </c>
      <c r="G25" s="29" t="s">
        <v>26</v>
      </c>
      <c r="H25" s="34">
        <v>46274</v>
      </c>
      <c r="I25" s="34">
        <v>46274</v>
      </c>
      <c r="J25" s="26">
        <v>1</v>
      </c>
      <c r="K25" s="30"/>
      <c r="L25" s="4"/>
      <c r="M25" s="1"/>
      <c r="N25" s="4"/>
      <c r="O25" s="4"/>
    </row>
    <row r="26" spans="4:15" ht="58.5" customHeight="1">
      <c r="D26" s="35">
        <v>3</v>
      </c>
      <c r="E26" s="35" t="s">
        <v>66</v>
      </c>
      <c r="F26" s="35"/>
      <c r="G26" s="35"/>
      <c r="H26" s="36">
        <v>46304</v>
      </c>
      <c r="I26" s="37" t="s">
        <v>67</v>
      </c>
      <c r="J26" s="38">
        <v>48</v>
      </c>
      <c r="K26" s="35"/>
      <c r="L26" s="4"/>
      <c r="M26" s="1"/>
      <c r="N26" s="4"/>
      <c r="O26" s="4"/>
    </row>
    <row r="27" spans="4:15" ht="109.5" customHeight="1">
      <c r="D27" s="23" t="s">
        <v>68</v>
      </c>
      <c r="E27" s="28" t="s">
        <v>69</v>
      </c>
      <c r="F27" s="24" t="s">
        <v>23</v>
      </c>
      <c r="G27" s="29" t="s">
        <v>40</v>
      </c>
      <c r="H27" s="34">
        <v>46304</v>
      </c>
      <c r="I27" s="34">
        <v>46304</v>
      </c>
      <c r="J27" s="39">
        <v>1</v>
      </c>
      <c r="K27" s="30"/>
      <c r="L27" s="4"/>
      <c r="M27" s="1"/>
      <c r="N27" s="4"/>
      <c r="O27" s="4"/>
    </row>
    <row r="28" spans="4:15" ht="73.5" customHeight="1">
      <c r="D28" s="23" t="s">
        <v>70</v>
      </c>
      <c r="E28" s="28" t="s">
        <v>71</v>
      </c>
      <c r="F28" s="24" t="s">
        <v>23</v>
      </c>
      <c r="G28" s="29" t="s">
        <v>72</v>
      </c>
      <c r="H28" s="34">
        <v>46335</v>
      </c>
      <c r="I28" s="34">
        <v>46335</v>
      </c>
      <c r="J28" s="39">
        <v>1</v>
      </c>
      <c r="K28" s="30"/>
      <c r="L28" s="4"/>
      <c r="M28" s="1"/>
      <c r="N28" s="4"/>
      <c r="O28" s="4"/>
    </row>
    <row r="29" spans="4:15" ht="117.75" customHeight="1">
      <c r="D29" s="23" t="s">
        <v>73</v>
      </c>
      <c r="E29" s="28" t="s">
        <v>74</v>
      </c>
      <c r="F29" s="24" t="s">
        <v>23</v>
      </c>
      <c r="G29" s="29" t="s">
        <v>75</v>
      </c>
      <c r="H29" s="34">
        <v>46365</v>
      </c>
      <c r="I29" s="34" t="s">
        <v>76</v>
      </c>
      <c r="J29" s="39">
        <v>2</v>
      </c>
      <c r="K29" s="30"/>
      <c r="L29" s="4"/>
      <c r="M29" s="1"/>
      <c r="N29" s="4"/>
      <c r="O29" s="4"/>
    </row>
    <row r="30" spans="4:15" ht="44.25" customHeight="1">
      <c r="D30" s="23" t="s">
        <v>77</v>
      </c>
      <c r="E30" s="28" t="s">
        <v>78</v>
      </c>
      <c r="F30" s="24" t="s">
        <v>23</v>
      </c>
      <c r="G30" s="29" t="s">
        <v>6</v>
      </c>
      <c r="H30" s="26" t="s">
        <v>79</v>
      </c>
      <c r="I30" s="26" t="s">
        <v>80</v>
      </c>
      <c r="J30" s="26">
        <v>2</v>
      </c>
      <c r="K30" s="30"/>
      <c r="L30" s="4"/>
      <c r="M30" s="1"/>
      <c r="N30" s="4"/>
      <c r="O30" s="4"/>
    </row>
    <row r="31" spans="4:15" ht="44.25" customHeight="1">
      <c r="D31" s="23" t="s">
        <v>81</v>
      </c>
      <c r="E31" s="28" t="s">
        <v>82</v>
      </c>
      <c r="F31" s="24" t="s">
        <v>23</v>
      </c>
      <c r="G31" s="29" t="s">
        <v>75</v>
      </c>
      <c r="H31" s="26" t="s">
        <v>83</v>
      </c>
      <c r="I31" s="26" t="s">
        <v>84</v>
      </c>
      <c r="J31" s="26">
        <v>2</v>
      </c>
      <c r="K31" s="30"/>
      <c r="L31" s="4"/>
      <c r="M31" s="1"/>
      <c r="N31" s="4"/>
      <c r="O31" s="4"/>
    </row>
    <row r="32" spans="4:15" ht="88.5" customHeight="1">
      <c r="D32" s="23" t="s">
        <v>85</v>
      </c>
      <c r="E32" s="28" t="s">
        <v>86</v>
      </c>
      <c r="F32" s="24" t="s">
        <v>23</v>
      </c>
      <c r="G32" s="29" t="s">
        <v>87</v>
      </c>
      <c r="H32" s="26" t="s">
        <v>88</v>
      </c>
      <c r="I32" s="26" t="s">
        <v>89</v>
      </c>
      <c r="J32" s="26">
        <v>2</v>
      </c>
      <c r="K32" s="30"/>
      <c r="L32" s="4"/>
      <c r="M32" s="1"/>
      <c r="N32" s="4"/>
      <c r="O32" s="4"/>
    </row>
    <row r="33" spans="4:15" ht="73.5" customHeight="1">
      <c r="D33" s="23" t="s">
        <v>90</v>
      </c>
      <c r="E33" s="28" t="s">
        <v>91</v>
      </c>
      <c r="F33" s="24" t="s">
        <v>23</v>
      </c>
      <c r="G33" s="29" t="s">
        <v>87</v>
      </c>
      <c r="H33" s="26" t="s">
        <v>92</v>
      </c>
      <c r="I33" s="26" t="s">
        <v>92</v>
      </c>
      <c r="J33" s="26">
        <v>1</v>
      </c>
      <c r="K33" s="30"/>
      <c r="L33" s="4"/>
      <c r="M33" s="1"/>
      <c r="N33" s="4"/>
      <c r="O33" s="4"/>
    </row>
    <row r="34" spans="4:15" ht="64.5" customHeight="1">
      <c r="D34" s="23" t="s">
        <v>93</v>
      </c>
      <c r="E34" s="28" t="s">
        <v>94</v>
      </c>
      <c r="F34" s="24" t="s">
        <v>23</v>
      </c>
      <c r="G34" s="29" t="s">
        <v>26</v>
      </c>
      <c r="H34" s="26" t="s">
        <v>95</v>
      </c>
      <c r="I34" s="26" t="s">
        <v>96</v>
      </c>
      <c r="J34" s="26">
        <v>2</v>
      </c>
      <c r="K34" s="30"/>
      <c r="L34" s="4"/>
      <c r="M34" s="1"/>
      <c r="N34" s="4"/>
      <c r="O34" s="4"/>
    </row>
    <row r="35" spans="4:15" ht="54.75" customHeight="1">
      <c r="D35" s="23" t="s">
        <v>97</v>
      </c>
      <c r="E35" s="28" t="s">
        <v>98</v>
      </c>
      <c r="F35" s="24" t="s">
        <v>23</v>
      </c>
      <c r="G35" s="29" t="s">
        <v>99</v>
      </c>
      <c r="H35" s="26" t="s">
        <v>100</v>
      </c>
      <c r="I35" s="26" t="s">
        <v>101</v>
      </c>
      <c r="J35" s="26">
        <v>2</v>
      </c>
      <c r="K35" s="30"/>
      <c r="L35" s="4"/>
      <c r="M35" s="1"/>
      <c r="N35" s="4"/>
      <c r="O35" s="4"/>
    </row>
    <row r="36" spans="4:15" ht="54.75" customHeight="1">
      <c r="D36" s="23" t="s">
        <v>102</v>
      </c>
      <c r="E36" s="28" t="s">
        <v>103</v>
      </c>
      <c r="F36" s="24" t="s">
        <v>23</v>
      </c>
      <c r="G36" s="29" t="s">
        <v>99</v>
      </c>
      <c r="H36" s="26" t="s">
        <v>104</v>
      </c>
      <c r="I36" s="26" t="s">
        <v>105</v>
      </c>
      <c r="J36" s="26">
        <v>2</v>
      </c>
      <c r="K36" s="30"/>
      <c r="L36" s="4"/>
      <c r="M36" s="1"/>
      <c r="N36" s="4"/>
      <c r="O36" s="4"/>
    </row>
    <row r="37" spans="4:15" ht="61.5" customHeight="1">
      <c r="D37" s="23" t="s">
        <v>106</v>
      </c>
      <c r="E37" s="28" t="s">
        <v>107</v>
      </c>
      <c r="F37" s="24" t="s">
        <v>23</v>
      </c>
      <c r="G37" s="29" t="s">
        <v>99</v>
      </c>
      <c r="H37" s="26" t="s">
        <v>108</v>
      </c>
      <c r="I37" s="26" t="s">
        <v>109</v>
      </c>
      <c r="J37" s="26">
        <v>2</v>
      </c>
      <c r="K37" s="30"/>
      <c r="L37" s="4"/>
      <c r="M37" s="1"/>
      <c r="N37" s="4"/>
      <c r="O37" s="4"/>
    </row>
    <row r="38" spans="4:15" ht="61.5" customHeight="1">
      <c r="D38" s="23" t="s">
        <v>110</v>
      </c>
      <c r="E38" s="28" t="s">
        <v>111</v>
      </c>
      <c r="F38" s="24" t="s">
        <v>23</v>
      </c>
      <c r="G38" s="29" t="s">
        <v>99</v>
      </c>
      <c r="H38" s="26" t="s">
        <v>112</v>
      </c>
      <c r="I38" s="26" t="s">
        <v>113</v>
      </c>
      <c r="J38" s="26">
        <v>2</v>
      </c>
      <c r="K38" s="30"/>
      <c r="L38" s="4"/>
      <c r="M38" s="1"/>
      <c r="N38" s="4"/>
      <c r="O38" s="4"/>
    </row>
    <row r="39" spans="4:15" ht="17.25">
      <c r="D39" s="23" t="s">
        <v>114</v>
      </c>
      <c r="E39" s="28" t="s">
        <v>115</v>
      </c>
      <c r="F39" s="24" t="s">
        <v>23</v>
      </c>
      <c r="G39" s="29" t="s">
        <v>99</v>
      </c>
      <c r="H39" s="34">
        <v>46032</v>
      </c>
      <c r="I39" s="34">
        <v>46063</v>
      </c>
      <c r="J39" s="26">
        <v>2</v>
      </c>
      <c r="K39" s="30"/>
      <c r="L39" s="1"/>
      <c r="M39" s="1"/>
      <c r="N39" s="1"/>
      <c r="O39" s="1"/>
    </row>
    <row r="40" spans="4:15" ht="31.5">
      <c r="D40" s="23" t="s">
        <v>116</v>
      </c>
      <c r="E40" s="28" t="s">
        <v>117</v>
      </c>
      <c r="F40" s="24" t="s">
        <v>23</v>
      </c>
      <c r="G40" s="29" t="s">
        <v>118</v>
      </c>
      <c r="H40" s="34">
        <v>46091</v>
      </c>
      <c r="I40" s="34">
        <v>46122</v>
      </c>
      <c r="J40" s="26">
        <v>2</v>
      </c>
      <c r="K40" s="30"/>
      <c r="L40" s="1"/>
      <c r="M40" s="1"/>
      <c r="N40" s="1"/>
      <c r="O40" s="1"/>
    </row>
    <row r="41" spans="4:15" ht="27" customHeight="1">
      <c r="D41" s="23" t="s">
        <v>119</v>
      </c>
      <c r="E41" s="28" t="s">
        <v>120</v>
      </c>
      <c r="F41" s="24" t="s">
        <v>23</v>
      </c>
      <c r="G41" s="29" t="s">
        <v>26</v>
      </c>
      <c r="H41" s="34">
        <v>46152</v>
      </c>
      <c r="I41" s="34">
        <v>46213</v>
      </c>
      <c r="J41" s="26">
        <v>3</v>
      </c>
      <c r="K41" s="30"/>
    </row>
    <row r="42" spans="4:15" ht="17.25">
      <c r="D42" s="23" t="s">
        <v>121</v>
      </c>
      <c r="E42" s="28" t="s">
        <v>122</v>
      </c>
      <c r="F42" s="24" t="s">
        <v>23</v>
      </c>
      <c r="G42" s="29" t="s">
        <v>99</v>
      </c>
      <c r="H42" s="34">
        <v>46244</v>
      </c>
      <c r="I42" s="34">
        <v>46305</v>
      </c>
      <c r="J42" s="26">
        <v>3</v>
      </c>
      <c r="K42" s="30"/>
    </row>
    <row r="43" spans="4:15" ht="30.75" customHeight="1">
      <c r="D43" s="23" t="s">
        <v>123</v>
      </c>
      <c r="E43" s="28" t="s">
        <v>124</v>
      </c>
      <c r="F43" s="24" t="s">
        <v>23</v>
      </c>
      <c r="G43" s="29" t="s">
        <v>26</v>
      </c>
      <c r="H43" s="34">
        <v>46336</v>
      </c>
      <c r="I43" s="34">
        <v>46366</v>
      </c>
      <c r="J43" s="26">
        <v>2</v>
      </c>
      <c r="K43" s="30"/>
    </row>
    <row r="44" spans="4:15" ht="30.75" customHeight="1">
      <c r="D44" s="23" t="s">
        <v>125</v>
      </c>
      <c r="E44" s="28" t="s">
        <v>126</v>
      </c>
      <c r="F44" s="24" t="s">
        <v>23</v>
      </c>
      <c r="G44" s="29" t="s">
        <v>26</v>
      </c>
      <c r="H44" s="34" t="s">
        <v>127</v>
      </c>
      <c r="I44" s="34" t="s">
        <v>128</v>
      </c>
      <c r="J44" s="26">
        <v>2</v>
      </c>
      <c r="K44" s="30"/>
    </row>
    <row r="45" spans="4:15" ht="30" customHeight="1">
      <c r="D45" s="23" t="s">
        <v>129</v>
      </c>
      <c r="E45" s="28" t="s">
        <v>130</v>
      </c>
      <c r="F45" s="24" t="s">
        <v>23</v>
      </c>
      <c r="G45" s="29" t="s">
        <v>6</v>
      </c>
      <c r="H45" s="34" t="s">
        <v>131</v>
      </c>
      <c r="I45" s="34" t="s">
        <v>132</v>
      </c>
      <c r="J45" s="26">
        <v>2</v>
      </c>
      <c r="K45" s="30"/>
    </row>
    <row r="46" spans="4:15" ht="29.25" customHeight="1">
      <c r="D46" s="23" t="s">
        <v>133</v>
      </c>
      <c r="E46" s="28" t="s">
        <v>134</v>
      </c>
      <c r="F46" s="24" t="s">
        <v>23</v>
      </c>
      <c r="G46" s="29" t="s">
        <v>99</v>
      </c>
      <c r="H46" s="34" t="s">
        <v>135</v>
      </c>
      <c r="I46" s="34" t="s">
        <v>135</v>
      </c>
      <c r="J46" s="26">
        <v>1</v>
      </c>
      <c r="K46" s="30"/>
    </row>
    <row r="47" spans="4:15" ht="31.5" customHeight="1">
      <c r="D47" s="23" t="s">
        <v>136</v>
      </c>
      <c r="E47" s="28" t="s">
        <v>137</v>
      </c>
      <c r="F47" s="24" t="s">
        <v>23</v>
      </c>
      <c r="G47" s="29" t="s">
        <v>99</v>
      </c>
      <c r="H47" s="26" t="s">
        <v>138</v>
      </c>
      <c r="I47" s="26" t="s">
        <v>138</v>
      </c>
      <c r="J47" s="26">
        <v>1</v>
      </c>
      <c r="K47" s="30"/>
    </row>
    <row r="48" spans="4:15" ht="17.25">
      <c r="D48" s="23" t="s">
        <v>139</v>
      </c>
      <c r="E48" s="28" t="s">
        <v>140</v>
      </c>
      <c r="F48" s="24" t="s">
        <v>23</v>
      </c>
      <c r="G48" s="29" t="s">
        <v>99</v>
      </c>
      <c r="H48" s="26" t="s">
        <v>141</v>
      </c>
      <c r="I48" s="26" t="s">
        <v>142</v>
      </c>
      <c r="J48" s="26">
        <v>2</v>
      </c>
      <c r="K48" s="30"/>
    </row>
    <row r="49" spans="4:18" ht="27" customHeight="1">
      <c r="D49" s="23" t="s">
        <v>143</v>
      </c>
      <c r="E49" s="28" t="s">
        <v>144</v>
      </c>
      <c r="F49" s="24" t="s">
        <v>23</v>
      </c>
      <c r="G49" s="29" t="s">
        <v>145</v>
      </c>
      <c r="H49" s="26" t="s">
        <v>146</v>
      </c>
      <c r="I49" s="26" t="s">
        <v>147</v>
      </c>
      <c r="J49" s="26">
        <v>2</v>
      </c>
      <c r="K49" s="30"/>
    </row>
    <row r="50" spans="4:18" ht="25.5" customHeight="1">
      <c r="D50" s="23" t="s">
        <v>148</v>
      </c>
      <c r="E50" s="28" t="s">
        <v>149</v>
      </c>
      <c r="F50" s="24" t="s">
        <v>23</v>
      </c>
      <c r="G50" s="29" t="s">
        <v>26</v>
      </c>
      <c r="H50" s="26" t="s">
        <v>150</v>
      </c>
      <c r="I50" s="26" t="s">
        <v>150</v>
      </c>
      <c r="J50" s="26">
        <v>1</v>
      </c>
      <c r="K50" s="30"/>
    </row>
    <row r="51" spans="4:18" ht="23.25" customHeight="1">
      <c r="D51" s="23" t="s">
        <v>151</v>
      </c>
      <c r="E51" s="28" t="s">
        <v>152</v>
      </c>
      <c r="F51" s="24" t="s">
        <v>23</v>
      </c>
      <c r="G51" s="29" t="s">
        <v>153</v>
      </c>
      <c r="H51" s="26" t="s">
        <v>154</v>
      </c>
      <c r="I51" s="26" t="s">
        <v>155</v>
      </c>
      <c r="J51" s="26">
        <v>2</v>
      </c>
      <c r="K51" s="30"/>
    </row>
    <row r="52" spans="4:18" ht="27" customHeight="1">
      <c r="D52" s="23" t="s">
        <v>156</v>
      </c>
      <c r="E52" s="28" t="s">
        <v>157</v>
      </c>
      <c r="F52" s="24" t="s">
        <v>23</v>
      </c>
      <c r="G52" s="65" t="s">
        <v>145</v>
      </c>
      <c r="H52" s="66" t="s">
        <v>158</v>
      </c>
      <c r="I52" s="66" t="s">
        <v>67</v>
      </c>
      <c r="J52" s="66">
        <v>2</v>
      </c>
      <c r="K52" s="67"/>
    </row>
    <row r="53" spans="4:18" ht="43.5" customHeight="1">
      <c r="D53" s="40">
        <v>4</v>
      </c>
      <c r="E53" s="40" t="s">
        <v>159</v>
      </c>
      <c r="F53" s="62"/>
      <c r="G53" s="42"/>
      <c r="H53" s="41" t="s">
        <v>160</v>
      </c>
      <c r="I53" s="72">
        <v>46245</v>
      </c>
      <c r="J53" s="42">
        <v>9</v>
      </c>
      <c r="K53" s="40"/>
    </row>
    <row r="54" spans="4:18" ht="27" customHeight="1">
      <c r="D54" s="23" t="s">
        <v>161</v>
      </c>
      <c r="E54" s="28" t="s">
        <v>162</v>
      </c>
      <c r="F54" s="63" t="s">
        <v>23</v>
      </c>
      <c r="G54" s="68" t="s">
        <v>26</v>
      </c>
      <c r="H54" s="69" t="s">
        <v>160</v>
      </c>
      <c r="I54" s="69" t="s">
        <v>163</v>
      </c>
      <c r="J54" s="70">
        <v>2</v>
      </c>
      <c r="K54" s="30"/>
    </row>
    <row r="55" spans="4:18" ht="27" customHeight="1">
      <c r="D55" s="23" t="s">
        <v>164</v>
      </c>
      <c r="E55" s="28" t="s">
        <v>165</v>
      </c>
      <c r="F55" s="63" t="s">
        <v>23</v>
      </c>
      <c r="G55" s="68" t="s">
        <v>26</v>
      </c>
      <c r="H55" s="69" t="s">
        <v>166</v>
      </c>
      <c r="I55" s="69" t="s">
        <v>167</v>
      </c>
      <c r="J55" s="70">
        <v>2</v>
      </c>
      <c r="K55" s="30"/>
      <c r="Q55" s="6"/>
      <c r="R55" s="6"/>
    </row>
    <row r="56" spans="4:18" ht="17.25">
      <c r="D56" s="23" t="s">
        <v>168</v>
      </c>
      <c r="E56" s="28" t="s">
        <v>169</v>
      </c>
      <c r="F56" s="63" t="s">
        <v>23</v>
      </c>
      <c r="G56" s="68" t="s">
        <v>26</v>
      </c>
      <c r="H56" s="69">
        <v>46033</v>
      </c>
      <c r="I56" s="69">
        <v>46064</v>
      </c>
      <c r="J56" s="70">
        <v>2</v>
      </c>
      <c r="K56" s="30"/>
      <c r="Q56" s="6"/>
      <c r="R56" s="6"/>
    </row>
    <row r="57" spans="4:18" ht="27" customHeight="1">
      <c r="D57" s="23" t="s">
        <v>170</v>
      </c>
      <c r="E57" s="28" t="s">
        <v>171</v>
      </c>
      <c r="F57" s="63" t="s">
        <v>23</v>
      </c>
      <c r="G57" s="68" t="s">
        <v>99</v>
      </c>
      <c r="H57" s="69">
        <v>46092</v>
      </c>
      <c r="I57" s="69">
        <v>46123</v>
      </c>
      <c r="J57" s="70">
        <v>2</v>
      </c>
      <c r="K57" s="30"/>
      <c r="Q57" s="6"/>
      <c r="R57" s="6"/>
    </row>
    <row r="58" spans="4:18" ht="27" customHeight="1">
      <c r="D58" s="23" t="s">
        <v>172</v>
      </c>
      <c r="E58" s="28" t="s">
        <v>173</v>
      </c>
      <c r="F58" s="63" t="s">
        <v>23</v>
      </c>
      <c r="G58" s="68" t="s">
        <v>26</v>
      </c>
      <c r="H58" s="69">
        <v>46153</v>
      </c>
      <c r="I58" s="69">
        <v>46184</v>
      </c>
      <c r="J58" s="70">
        <v>2</v>
      </c>
      <c r="K58" s="30"/>
      <c r="Q58" s="6"/>
      <c r="R58" s="6"/>
    </row>
    <row r="59" spans="4:18" ht="32.25" customHeight="1">
      <c r="D59" s="23" t="s">
        <v>174</v>
      </c>
      <c r="E59" s="28" t="s">
        <v>175</v>
      </c>
      <c r="F59" s="63" t="s">
        <v>23</v>
      </c>
      <c r="G59" s="68" t="s">
        <v>26</v>
      </c>
      <c r="H59" s="69">
        <v>46214</v>
      </c>
      <c r="I59" s="69">
        <v>46245</v>
      </c>
      <c r="J59" s="70">
        <v>2</v>
      </c>
      <c r="K59" s="30"/>
      <c r="Q59" s="6"/>
      <c r="R59" s="6"/>
    </row>
    <row r="60" spans="4:18" ht="48" customHeight="1">
      <c r="D60" s="43">
        <v>5</v>
      </c>
      <c r="E60" s="43" t="s">
        <v>176</v>
      </c>
      <c r="F60" s="64"/>
      <c r="G60" s="44"/>
      <c r="H60" s="73">
        <v>46276</v>
      </c>
      <c r="I60" s="73" t="s">
        <v>177</v>
      </c>
      <c r="J60" s="44">
        <v>6</v>
      </c>
      <c r="K60" s="43"/>
      <c r="Q60" s="6"/>
      <c r="R60" s="6"/>
    </row>
    <row r="61" spans="4:18" ht="31.5">
      <c r="D61" s="23" t="s">
        <v>178</v>
      </c>
      <c r="E61" s="28" t="s">
        <v>179</v>
      </c>
      <c r="F61" s="63" t="s">
        <v>23</v>
      </c>
      <c r="G61" s="68" t="s">
        <v>87</v>
      </c>
      <c r="H61" s="69">
        <v>46276</v>
      </c>
      <c r="I61" s="69">
        <v>46306</v>
      </c>
      <c r="J61" s="70">
        <v>2</v>
      </c>
      <c r="K61" s="30"/>
      <c r="Q61" s="6"/>
      <c r="R61" s="6"/>
    </row>
    <row r="62" spans="4:18" ht="40.5" customHeight="1">
      <c r="D62" s="23" t="s">
        <v>180</v>
      </c>
      <c r="E62" s="28" t="s">
        <v>181</v>
      </c>
      <c r="F62" s="63" t="s">
        <v>23</v>
      </c>
      <c r="G62" s="68" t="s">
        <v>182</v>
      </c>
      <c r="H62" s="69">
        <v>46337</v>
      </c>
      <c r="I62" s="69">
        <v>46337</v>
      </c>
      <c r="J62" s="70">
        <v>1</v>
      </c>
      <c r="K62" s="30"/>
      <c r="Q62" s="6"/>
      <c r="R62" s="6"/>
    </row>
    <row r="63" spans="4:18" ht="32.25" customHeight="1">
      <c r="D63" s="23" t="s">
        <v>183</v>
      </c>
      <c r="E63" s="28" t="s">
        <v>184</v>
      </c>
      <c r="F63" s="63" t="s">
        <v>23</v>
      </c>
      <c r="G63" s="68" t="s">
        <v>185</v>
      </c>
      <c r="H63" s="69">
        <v>46367</v>
      </c>
      <c r="I63" s="69">
        <v>46367</v>
      </c>
      <c r="J63" s="70">
        <v>1</v>
      </c>
      <c r="K63" s="30"/>
      <c r="Q63" s="6"/>
      <c r="R63" s="6"/>
    </row>
    <row r="64" spans="4:18" ht="31.5" customHeight="1">
      <c r="D64" s="23" t="s">
        <v>186</v>
      </c>
      <c r="E64" s="28" t="s">
        <v>187</v>
      </c>
      <c r="F64" s="63" t="s">
        <v>23</v>
      </c>
      <c r="G64" s="68" t="s">
        <v>185</v>
      </c>
      <c r="H64" s="69" t="s">
        <v>188</v>
      </c>
      <c r="I64" s="69" t="s">
        <v>188</v>
      </c>
      <c r="J64" s="70">
        <v>1</v>
      </c>
      <c r="K64" s="30"/>
      <c r="Q64" s="6"/>
      <c r="R64" s="6"/>
    </row>
    <row r="65" spans="4:18" ht="33.75" customHeight="1">
      <c r="D65" s="23" t="s">
        <v>189</v>
      </c>
      <c r="E65" s="28" t="s">
        <v>190</v>
      </c>
      <c r="F65" s="63" t="s">
        <v>23</v>
      </c>
      <c r="G65" s="68" t="s">
        <v>26</v>
      </c>
      <c r="H65" s="69" t="s">
        <v>177</v>
      </c>
      <c r="I65" s="69" t="s">
        <v>177</v>
      </c>
      <c r="J65" s="70">
        <v>1</v>
      </c>
      <c r="K65" s="30"/>
      <c r="Q65" s="6"/>
      <c r="R65" s="6"/>
    </row>
    <row r="66" spans="4:18">
      <c r="G66" s="71"/>
      <c r="H66" s="71"/>
      <c r="I66" s="71"/>
      <c r="J66" s="71"/>
    </row>
  </sheetData>
  <mergeCells count="12">
    <mergeCell ref="J5:J6"/>
    <mergeCell ref="J7:J8"/>
    <mergeCell ref="D4:K4"/>
    <mergeCell ref="D5:E5"/>
    <mergeCell ref="D6:E6"/>
    <mergeCell ref="D7:E7"/>
    <mergeCell ref="D8:E8"/>
    <mergeCell ref="D9:K9"/>
    <mergeCell ref="F5:G5"/>
    <mergeCell ref="F6:G6"/>
    <mergeCell ref="F7:G7"/>
    <mergeCell ref="F8:G8"/>
  </mergeCells>
  <conditionalFormatting sqref="F16:F21">
    <cfRule type="cellIs" dxfId="35" priority="33" operator="equal">
      <formula>"En Espera"</formula>
    </cfRule>
    <cfRule type="cellIs" dxfId="34" priority="34" operator="equal">
      <formula>"En Progreso"</formula>
    </cfRule>
    <cfRule type="cellIs" dxfId="33" priority="35" operator="equal">
      <formula>"No Iniciado"</formula>
    </cfRule>
    <cfRule type="cellIs" dxfId="32" priority="36" operator="equal">
      <formula>"Completo"</formula>
    </cfRule>
  </conditionalFormatting>
  <conditionalFormatting sqref="F22:F25">
    <cfRule type="cellIs" dxfId="31" priority="29" operator="equal">
      <formula>"En Espera"</formula>
    </cfRule>
    <cfRule type="cellIs" dxfId="30" priority="30" operator="equal">
      <formula>"En Progreso"</formula>
    </cfRule>
    <cfRule type="cellIs" dxfId="29" priority="31" operator="equal">
      <formula>"No Iniciado"</formula>
    </cfRule>
    <cfRule type="cellIs" dxfId="28" priority="32" operator="equal">
      <formula>"Completo"</formula>
    </cfRule>
  </conditionalFormatting>
  <conditionalFormatting sqref="F28:F33">
    <cfRule type="cellIs" dxfId="27" priority="25" operator="equal">
      <formula>"En Espera"</formula>
    </cfRule>
    <cfRule type="cellIs" dxfId="26" priority="26" operator="equal">
      <formula>"En Progreso"</formula>
    </cfRule>
    <cfRule type="cellIs" dxfId="25" priority="27" operator="equal">
      <formula>"No Iniciado"</formula>
    </cfRule>
    <cfRule type="cellIs" dxfId="24" priority="28" operator="equal">
      <formula>"Completo"</formula>
    </cfRule>
  </conditionalFormatting>
  <conditionalFormatting sqref="F35:F38">
    <cfRule type="cellIs" dxfId="23" priority="21" operator="equal">
      <formula>"En Espera"</formula>
    </cfRule>
    <cfRule type="cellIs" dxfId="22" priority="22" operator="equal">
      <formula>"En Progreso"</formula>
    </cfRule>
    <cfRule type="cellIs" dxfId="21" priority="23" operator="equal">
      <formula>"No Iniciado"</formula>
    </cfRule>
    <cfRule type="cellIs" dxfId="20" priority="24" operator="equal">
      <formula>"Completo"</formula>
    </cfRule>
  </conditionalFormatting>
  <conditionalFormatting sqref="F27">
    <cfRule type="cellIs" dxfId="19" priority="17" operator="equal">
      <formula>"En Espera"</formula>
    </cfRule>
    <cfRule type="cellIs" dxfId="18" priority="18" operator="equal">
      <formula>"En Progreso"</formula>
    </cfRule>
    <cfRule type="cellIs" dxfId="17" priority="19" operator="equal">
      <formula>"No Iniciado"</formula>
    </cfRule>
    <cfRule type="cellIs" dxfId="16" priority="20" operator="equal">
      <formula>"Completo"</formula>
    </cfRule>
  </conditionalFormatting>
  <conditionalFormatting sqref="F34">
    <cfRule type="cellIs" dxfId="15" priority="13" operator="equal">
      <formula>"En Espera"</formula>
    </cfRule>
    <cfRule type="cellIs" dxfId="14" priority="14" operator="equal">
      <formula>"En Progreso"</formula>
    </cfRule>
    <cfRule type="cellIs" dxfId="13" priority="15" operator="equal">
      <formula>"No Iniciado"</formula>
    </cfRule>
    <cfRule type="cellIs" dxfId="12" priority="16" operator="equal">
      <formula>"Completo"</formula>
    </cfRule>
  </conditionalFormatting>
  <conditionalFormatting sqref="F39:F52">
    <cfRule type="cellIs" dxfId="11" priority="9" operator="equal">
      <formula>"En Espera"</formula>
    </cfRule>
    <cfRule type="cellIs" dxfId="10" priority="10" operator="equal">
      <formula>"En Progreso"</formula>
    </cfRule>
    <cfRule type="cellIs" dxfId="9" priority="11" operator="equal">
      <formula>"No Iniciado"</formula>
    </cfRule>
    <cfRule type="cellIs" dxfId="8" priority="12" operator="equal">
      <formula>"Completo"</formula>
    </cfRule>
  </conditionalFormatting>
  <conditionalFormatting sqref="F54:F59">
    <cfRule type="cellIs" dxfId="7" priority="5" operator="equal">
      <formula>"En Espera"</formula>
    </cfRule>
    <cfRule type="cellIs" dxfId="6" priority="6" operator="equal">
      <formula>"En Progreso"</formula>
    </cfRule>
    <cfRule type="cellIs" dxfId="5" priority="7" operator="equal">
      <formula>"No Iniciado"</formula>
    </cfRule>
    <cfRule type="cellIs" dxfId="4" priority="8" operator="equal">
      <formula>"Completo"</formula>
    </cfRule>
  </conditionalFormatting>
  <conditionalFormatting sqref="F61:F65">
    <cfRule type="cellIs" dxfId="3" priority="1" operator="equal">
      <formula>"En Espera"</formula>
    </cfRule>
    <cfRule type="cellIs" dxfId="2" priority="2" operator="equal">
      <formula>"En Progreso"</formula>
    </cfRule>
    <cfRule type="cellIs" dxfId="1" priority="3" operator="equal">
      <formula>"No Iniciado"</formula>
    </cfRule>
    <cfRule type="cellIs" dxfId="0" priority="4" operator="equal">
      <formula>"Completo"</formula>
    </cfRule>
  </conditionalFormatting>
  <dataValidations count="1">
    <dataValidation type="list" allowBlank="1" showInputMessage="1" showErrorMessage="1" sqref="F16:F25 F61:F65 F27:F52 F54:F59" xr:uid="{00000000-0002-0000-0000-000000000000}">
      <formula1>#REF!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2026-08-20T00:57:37Z</dcterms:created>
  <dcterms:modified xsi:type="dcterms:W3CDTF">2026-08-23T23:48:33Z</dcterms:modified>
  <cp:category/>
  <cp:contentStatus/>
</cp:coreProperties>
</file>