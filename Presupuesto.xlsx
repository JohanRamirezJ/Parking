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persons/person.xml" ContentType="application/vnd.ms-excel.person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User\Documents\RENTA MAYI 2025\"/>
    </mc:Choice>
  </mc:AlternateContent>
  <xr:revisionPtr revIDLastSave="0" documentId="13_ncr:1_{6E28AA24-35D2-4190-9026-5412C4D6ADF5}" xr6:coauthVersionLast="47" xr6:coauthVersionMax="47" xr10:uidLastSave="{00000000-0000-0000-0000-000000000000}"/>
  <bookViews>
    <workbookView xWindow="-19280" yWindow="-80" windowWidth="19360" windowHeight="10960" tabRatio="500" xr2:uid="{00000000-000D-0000-FFFF-FFFF00000000}"/>
  </bookViews>
  <sheets>
    <sheet name="Presupuesto del proyecto" sheetId="1" r:id="rId1"/>
    <sheet name="listas desplegables" sheetId="2" r:id="rId2"/>
  </sheets>
  <definedNames>
    <definedName name="_xlnm.Print_Area" localSheetId="0">'Presupuesto del proyecto'!$B$1:$S$56</definedName>
    <definedName name="Priority">#REF!</definedName>
    <definedName name="Status">'listas desplegables'!$D$5:$D$7</definedName>
    <definedName name="YesNo">'listas desplegables'!$B$5:$B$6</definedName>
  </definedName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S41" i="1" l="1"/>
  <c r="R41" i="1"/>
  <c r="Q41" i="1"/>
  <c r="P41" i="1"/>
  <c r="O41" i="1"/>
  <c r="N41" i="1"/>
  <c r="M41" i="1"/>
  <c r="J41" i="1"/>
  <c r="P29" i="1"/>
  <c r="P30" i="1" s="1"/>
  <c r="P28" i="1"/>
  <c r="L28" i="1"/>
  <c r="P27" i="1"/>
  <c r="O27" i="1"/>
  <c r="P26" i="1"/>
  <c r="O26" i="1"/>
  <c r="P25" i="1"/>
  <c r="O25" i="1"/>
  <c r="P19" i="1"/>
  <c r="O19" i="1"/>
  <c r="P18" i="1"/>
  <c r="P20" i="1" s="1"/>
  <c r="O18" i="1"/>
  <c r="P17" i="1"/>
  <c r="O17" i="1"/>
  <c r="L17" i="1"/>
  <c r="P16" i="1"/>
  <c r="O16" i="1"/>
  <c r="L16" i="1"/>
  <c r="P15" i="1"/>
  <c r="O15" i="1"/>
  <c r="L15" i="1"/>
  <c r="P14" i="1"/>
  <c r="P13" i="1"/>
  <c r="P7" i="1"/>
  <c r="P8" i="1" s="1"/>
  <c r="P6" i="1"/>
  <c r="O6" i="1"/>
  <c r="L6" i="1"/>
  <c r="P5" i="1"/>
  <c r="O5" i="1"/>
  <c r="L5" i="1"/>
  <c r="D71" i="1"/>
  <c r="D70" i="1"/>
  <c r="D55" i="1"/>
  <c r="D54" i="1"/>
  <c r="D53" i="1"/>
  <c r="Q39" i="1"/>
  <c r="P39" i="1"/>
  <c r="O39" i="1"/>
  <c r="N39" i="1"/>
  <c r="M38" i="1"/>
  <c r="J38" i="1"/>
  <c r="M37" i="1"/>
  <c r="J37" i="1"/>
  <c r="M36" i="1"/>
  <c r="J36" i="1"/>
  <c r="R36" i="1" s="1"/>
  <c r="S36" i="1" s="1"/>
  <c r="M35" i="1"/>
  <c r="J35" i="1"/>
  <c r="R35" i="1" s="1"/>
  <c r="S35" i="1" s="1"/>
  <c r="Q30" i="1"/>
  <c r="O30" i="1"/>
  <c r="N30" i="1"/>
  <c r="M29" i="1"/>
  <c r="J29" i="1"/>
  <c r="M28" i="1"/>
  <c r="J28" i="1"/>
  <c r="M27" i="1"/>
  <c r="J27" i="1"/>
  <c r="M26" i="1"/>
  <c r="J26" i="1"/>
  <c r="R26" i="1" s="1"/>
  <c r="S26" i="1" s="1"/>
  <c r="M25" i="1"/>
  <c r="J25" i="1"/>
  <c r="Q20" i="1"/>
  <c r="O20" i="1"/>
  <c r="N20" i="1"/>
  <c r="M19" i="1"/>
  <c r="J19" i="1"/>
  <c r="R19" i="1" s="1"/>
  <c r="S19" i="1" s="1"/>
  <c r="M18" i="1"/>
  <c r="J18" i="1"/>
  <c r="M17" i="1"/>
  <c r="R17" i="1" s="1"/>
  <c r="S17" i="1" s="1"/>
  <c r="J17" i="1"/>
  <c r="M16" i="1"/>
  <c r="J16" i="1"/>
  <c r="M15" i="1"/>
  <c r="J15" i="1"/>
  <c r="J20" i="1" s="1"/>
  <c r="M14" i="1"/>
  <c r="J14" i="1"/>
  <c r="M13" i="1"/>
  <c r="J13" i="1"/>
  <c r="R13" i="1" s="1"/>
  <c r="S13" i="1" s="1"/>
  <c r="Q8" i="1"/>
  <c r="O8" i="1"/>
  <c r="N8" i="1"/>
  <c r="M7" i="1"/>
  <c r="J7" i="1"/>
  <c r="M6" i="1"/>
  <c r="R6" i="1" s="1"/>
  <c r="S6" i="1" s="1"/>
  <c r="J6" i="1"/>
  <c r="M5" i="1"/>
  <c r="J5" i="1"/>
  <c r="R38" i="1"/>
  <c r="S38" i="1" s="1"/>
  <c r="J8" i="1"/>
  <c r="R7" i="1"/>
  <c r="S7" i="1" s="1"/>
  <c r="J30" i="1" l="1"/>
  <c r="R5" i="1"/>
  <c r="S5" i="1" s="1"/>
  <c r="R16" i="1"/>
  <c r="S16" i="1" s="1"/>
  <c r="R27" i="1"/>
  <c r="S27" i="1" s="1"/>
  <c r="R15" i="1"/>
  <c r="S15" i="1" s="1"/>
  <c r="R28" i="1"/>
  <c r="S28" i="1" s="1"/>
  <c r="R14" i="1"/>
  <c r="S14" i="1" s="1"/>
  <c r="R18" i="1"/>
  <c r="S18" i="1" s="1"/>
  <c r="R29" i="1"/>
  <c r="S29" i="1" s="1"/>
  <c r="R37" i="1"/>
  <c r="S37" i="1" s="1"/>
  <c r="M20" i="1"/>
  <c r="R20" i="1" s="1"/>
  <c r="S20" i="1" s="1"/>
  <c r="M30" i="1"/>
  <c r="R30" i="1" s="1"/>
  <c r="S30" i="1" s="1"/>
  <c r="M39" i="1"/>
  <c r="R25" i="1"/>
  <c r="S25" i="1" s="1"/>
  <c r="M8" i="1"/>
  <c r="R8" i="1" s="1"/>
  <c r="S8" i="1" s="1"/>
  <c r="J39" i="1"/>
  <c r="R39" i="1" l="1"/>
  <c r="S39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Q5" authorId="0" shapeId="0" xr:uid="{3893084A-C605-497C-924C-70DE81129B1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Mano de obra $30.000.000 + puesto de trabajo $3.800.000 + herramientas de gestión $500.000 + transversales (500 h x $3.000) $1.500.000</t>
        </r>
      </text>
    </comment>
    <comment ref="Q6" authorId="0" shapeId="0" xr:uid="{50B4DD3E-A774-41F1-AD83-DD36C345071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Mano de obra $48.000.000 + puesto de trabajo $3.800.000 + herramientas de gestión $500.000 + transversales (500 h x $3.000) $1.500.000</t>
        </r>
      </text>
    </comment>
    <comment ref="Q7" authorId="0" shapeId="0" xr:uid="{08B7134C-B9D7-460D-A545-F83F6E2CE14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Mano de obra $27.000.000 + transversales (500 h x $3.000) $1.500.000</t>
        </r>
      </text>
    </comment>
    <comment ref="Q13" authorId="0" shapeId="0" xr:uid="{C3773FD8-1A46-4281-B1F9-CF280FCC65C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Presupuesto original de la tarea $8.000.000 + transversales (80 h x $3.000) $240.000. La diferencia frente al REAL viene del archivo original (8 M presupuestados vs. 80 h x $50.000 = 4 M).</t>
        </r>
      </text>
    </comment>
    <comment ref="Q14" authorId="0" shapeId="0" xr:uid="{EAED7BF4-C305-4B23-9C08-3016AFAD777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Mano de obra $8.000.000 + transversales (160 h x $3.000) $480.000</t>
        </r>
      </text>
    </comment>
    <comment ref="Q15" authorId="0" shapeId="0" xr:uid="{0A31C430-9535-4863-AB27-9729D322A27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Mano de obra $10.000.000 + puesto de trabajo $3.800.000 + herramientas de diseño UI/UX $1.500.000 + transversales (200 h x $3.000) $600.000</t>
        </r>
      </text>
    </comment>
    <comment ref="Q16" authorId="0" shapeId="0" xr:uid="{ACFE71C8-5647-4FD0-80B3-1532D4296D2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Mano de obra $35.000.000 + puesto de trabajo $3.800.000 + herramientas de desarrollo $1.500.000 + transversales (700 h x $3.000) $2.100.000</t>
        </r>
      </text>
    </comment>
    <comment ref="Q17" authorId="0" shapeId="0" xr:uid="{19FF361A-33A2-459C-95F3-DB9BAE91126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Mano de obra $20.000.000 + puesto de trabajo $3.800.000 + herramientas de desarrollo $1.500.000 + servidor cloud y almacenamiento $3.500.000 + transversales (400 h x $3.000) $1.200.000</t>
        </r>
      </text>
    </comment>
    <comment ref="Q18" authorId="0" shapeId="0" xr:uid="{04E5D709-8A53-481E-8F50-B58FC483C00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Mano de obra $8.000.000 + IA (API, base de conocimiento, procesamiento) $4.000.000 + autenticación, notificaciones y CDN $1.300.000 + transversales (160 h x $3.000) $480.000</t>
        </r>
      </text>
    </comment>
    <comment ref="Q19" authorId="0" shapeId="0" xr:uid="{25447A55-BA3D-4F6A-9CBF-EBA579EC37F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Mano de obra $6.000.000 + base de datos y copias de seguridad $2.000.000 + transversales (120 h x $3.000) $360.000</t>
        </r>
      </text>
    </comment>
    <comment ref="Q25" authorId="0" shapeId="0" xr:uid="{DA9EA0D5-1E9A-43DE-814E-02AD6E6AFA0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Mano de obra $1.500.000 + herramientas de pruebas $500.000 + pruebas y entrenamiento del modelo de IA $1.000.000 + transversales (60 h x $3.000) $180.000</t>
        </r>
      </text>
    </comment>
    <comment ref="Q26" authorId="0" shapeId="0" xr:uid="{0904FD37-6623-477E-8C5C-342373B48D0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Mano de obra $1.000.000 + herramientas de pruebas $500.000 + transversales (40 h x $3.000) $120.000</t>
        </r>
      </text>
    </comment>
    <comment ref="Q27" authorId="0" shapeId="0" xr:uid="{4C2EEE1E-EBD1-47B8-B7F9-9DAC7AA1E9F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Mano de obra $1.500.000 + software de seguridad $1.500.000 + transversales (60 h x $3.000) $180.000</t>
        </r>
      </text>
    </comment>
    <comment ref="Q28" authorId="0" shapeId="0" xr:uid="{434935FD-32BB-49E9-9B71-8FBAA96D3A8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Mano de obra $1.000.000 + dispositivos de prueba (2 Android + 1 iPhone) $5.400.000 + transversales (40 h x $3.000) $120.000</t>
        </r>
      </text>
    </comment>
    <comment ref="Q29" authorId="0" shapeId="0" xr:uid="{40DCE1B3-75E0-4A9D-8041-DC4F9778AA7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Mano de obra $2.000.000 + transversales (80 h x $3.000) $240.000</t>
        </r>
      </text>
    </comment>
    <comment ref="B58" authorId="0" shapeId="0" xr:uid="{EBED9ACB-8D76-48A8-BE3A-697D12D7BA2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5 puestos: 5 x $3.500.000 (portátil) + 5 x $300.000 (accesorios) = $19.000.000</t>
        </r>
      </text>
    </comment>
    <comment ref="B59" authorId="0" shapeId="0" xr:uid="{97333AC0-57E8-4A8B-B6A6-485017F1ED1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2 celulares Android x $1.200.000 + 1 iPhone x $3.000.000 = $5.400.000</t>
        </r>
      </text>
    </comment>
  </commentList>
</comments>
</file>

<file path=xl/sharedStrings.xml><?xml version="1.0" encoding="utf-8"?>
<sst xmlns="http://schemas.openxmlformats.org/spreadsheetml/2006/main" count="248" uniqueCount="131">
  <si>
    <t>Presupuesto de Proyecto</t>
  </si>
  <si>
    <t>El usuario debe completar solo las celdas no sombreadas.</t>
  </si>
  <si>
    <t>Mano de Obra</t>
  </si>
  <si>
    <t>Materiales</t>
  </si>
  <si>
    <t>Costos Fijos</t>
  </si>
  <si>
    <t>Balance</t>
  </si>
  <si>
    <t>TAREA</t>
  </si>
  <si>
    <t>DESCRIPCION</t>
  </si>
  <si>
    <t>ESTADO</t>
  </si>
  <si>
    <t>FECHA INICIO PLANIFICADA</t>
  </si>
  <si>
    <t>FECHA INICIO REAL</t>
  </si>
  <si>
    <t>FECHA FIN</t>
  </si>
  <si>
    <t>HORAS</t>
  </si>
  <si>
    <t>VALOR HORA</t>
  </si>
  <si>
    <t>TOTAL MANO DE OBRA</t>
  </si>
  <si>
    <t>UNIDADES</t>
  </si>
  <si>
    <t>VALOR UNIDAD</t>
  </si>
  <si>
    <t>TOTAL MATERIALES</t>
  </si>
  <si>
    <t>VIAJES</t>
  </si>
  <si>
    <t>EQUIPOS</t>
  </si>
  <si>
    <t>MISCELANEOS</t>
  </si>
  <si>
    <t>PRESUPUESTO</t>
  </si>
  <si>
    <t>REAL</t>
  </si>
  <si>
    <t>Diferencia (Menos / Más del Presupuesto)</t>
  </si>
  <si>
    <t>No Iniciado</t>
  </si>
  <si>
    <t>SUBTOTAL</t>
  </si>
  <si>
    <t>Router / equipo de red</t>
  </si>
  <si>
    <t>1 unidad x $400.000</t>
  </si>
  <si>
    <t>Herramientas de desarrollo</t>
  </si>
  <si>
    <t>5 usuarios x 6 meses</t>
  </si>
  <si>
    <t>Herramientas de diseño UI/UX</t>
  </si>
  <si>
    <t>2 usuarios x 6 meses</t>
  </si>
  <si>
    <t>Herramientas de gestión del proyecto</t>
  </si>
  <si>
    <t>Herramientas de pruebas</t>
  </si>
  <si>
    <t>Software de seguridad</t>
  </si>
  <si>
    <t>6 meses</t>
  </si>
  <si>
    <t>Base de datos</t>
  </si>
  <si>
    <t>Proyecto</t>
  </si>
  <si>
    <t>DISEÑO Y DESARROLLO</t>
  </si>
  <si>
    <t>Análisis de requerimientos</t>
  </si>
  <si>
    <t>Diseño de arquitectura</t>
  </si>
  <si>
    <t>Diseño UI/UX</t>
  </si>
  <si>
    <t>Desarrollo aplicación móvil</t>
  </si>
  <si>
    <t>Desarrollo Backend/API</t>
  </si>
  <si>
    <t>Integración de servicios</t>
  </si>
  <si>
    <t>PRUEBAS Y CALIDAD</t>
  </si>
  <si>
    <t>Pruebas funcionales</t>
  </si>
  <si>
    <t>Pruebas de rendimiento</t>
  </si>
  <si>
    <t>Pruebas de seguridad</t>
  </si>
  <si>
    <t>Pruebas en dispositivos</t>
  </si>
  <si>
    <t>Corrección de errores</t>
  </si>
  <si>
    <t>PUBLICACIÓN</t>
  </si>
  <si>
    <t>Cuenta desarrollador Google Play</t>
  </si>
  <si>
    <t>Cuenta Apple Developer</t>
  </si>
  <si>
    <t>Preparación de publicación</t>
  </si>
  <si>
    <t>Diseño de material para tiendas</t>
  </si>
  <si>
    <t>Internet</t>
  </si>
  <si>
    <t>Gasto fijo mensual del proyecto</t>
  </si>
  <si>
    <t>Electricidad</t>
  </si>
  <si>
    <t>Espacio de trabajo</t>
  </si>
  <si>
    <t>Papelería / documentación</t>
  </si>
  <si>
    <t>Reuniones y desplazamientos</t>
  </si>
  <si>
    <t>Desplazamientos y reuniones del equipo</t>
  </si>
  <si>
    <t>Administración</t>
  </si>
  <si>
    <t>Gasto administrativo del proyecto</t>
  </si>
  <si>
    <t>listas desplegables</t>
  </si>
  <si>
    <t>SI / NO</t>
  </si>
  <si>
    <t>PRIORIDAD</t>
  </si>
  <si>
    <t>Si</t>
  </si>
  <si>
    <t>Baja</t>
  </si>
  <si>
    <t>No</t>
  </si>
  <si>
    <t>Media</t>
  </si>
  <si>
    <t>En Progreso</t>
  </si>
  <si>
    <t>Alta</t>
  </si>
  <si>
    <t>Completo</t>
  </si>
  <si>
    <t>Requiere Revisión</t>
  </si>
  <si>
    <t>Aprobado</t>
  </si>
  <si>
    <t>Atrasado</t>
  </si>
  <si>
    <t>En Espera</t>
  </si>
  <si>
    <t>BASES DE ASIGNACIÓN DE RECURSOS A LAS TAREAS (ningún recurso se cobra por separado)</t>
  </si>
  <si>
    <t>RECURSO</t>
  </si>
  <si>
    <t>DETALLE / CRITERIO</t>
  </si>
  <si>
    <t>VALOR TOTAL</t>
  </si>
  <si>
    <t>TAREA(S) DONDE QUEDA INCLUIDO</t>
  </si>
  <si>
    <t>RECURSOS TRANSVERSALES (prorrateados por horas)</t>
  </si>
  <si>
    <t>Todas las tareas con horas</t>
  </si>
  <si>
    <t>TOTAL RECURSOS TRANSVERSALES</t>
  </si>
  <si>
    <t>Horas totales del proyecto</t>
  </si>
  <si>
    <t>Suma de la columna HORAS de todos los bloques</t>
  </si>
  <si>
    <t>TASA DE RECURSOS TRANSVERSALES POR HORA</t>
  </si>
  <si>
    <t>Base de prorrateo aplicada en la columna MISCELANEOS de cada tarea</t>
  </si>
  <si>
    <t>RECURSOS DE ASIGNACIÓN DIRECTA (según la tarea que los usa)</t>
  </si>
  <si>
    <t>Computadores portátiles + accesorios</t>
  </si>
  <si>
    <t>5 puestos x $3.800.000 c/u</t>
  </si>
  <si>
    <t>Dirección de producto, Gestión ágil, Diseño UI/UX, Desarrollo móvil, Backend/API</t>
  </si>
  <si>
    <t>Dispositivos de prueba</t>
  </si>
  <si>
    <t>3 unidades (2 Android + 1 iOS)</t>
  </si>
  <si>
    <t>Dirección de producto y Gestión ágil (50% cada una)</t>
  </si>
  <si>
    <t>Desarrollo móvil y Backend/API (50% cada una)</t>
  </si>
  <si>
    <t>Pruebas funcionales y de rendimiento (50% cada una)</t>
  </si>
  <si>
    <t>Servidor / cloud + almacenamiento</t>
  </si>
  <si>
    <t>Autenticación, notificaciones y CDN</t>
  </si>
  <si>
    <t>Base de datos + copias de seguridad</t>
  </si>
  <si>
    <t>API / modelo de IA, base de conocimiento y procesamiento</t>
  </si>
  <si>
    <t>Pruebas y entrenamiento del modelo de IA</t>
  </si>
  <si>
    <t>TOTAL RECURSOS DE ASIGNACIÓN DIRECTA</t>
  </si>
  <si>
    <t>TOTAL RECURSOS INCORPORADOS EN LAS TAREAS</t>
  </si>
  <si>
    <t>Equivale a los bloques de recursos eliminados (Equipos, Software, Cloud, IA, Administrativos)</t>
  </si>
  <si>
    <t>GESTIÓN Y DIRECCIÓN DEL PROYECTO</t>
  </si>
  <si>
    <t>Dirección de producto y requerimientos</t>
  </si>
  <si>
    <t>Gestión ágil, seguimiento y control</t>
  </si>
  <si>
    <t>Coordinación técnica y soporte al equipo</t>
  </si>
  <si>
    <t>TOTAL PROYECTO</t>
  </si>
  <si>
    <t>1 persona x 6 meses. Incluye puesto de trabajo, herramientas de gestión y gastos transversales.</t>
  </si>
  <si>
    <t>3 personas x 6 meses. Incluye gastos transversales.</t>
  </si>
  <si>
    <t>Documentar requerimientos. Incluye gastos transversales.</t>
  </si>
  <si>
    <t>Definir arquitectura técnica. Incluye gastos transversales.</t>
  </si>
  <si>
    <t>Diseño de interfaces y experiencia de usuario. Incluye puesto de trabajo, herramientas de diseño y transversales.</t>
  </si>
  <si>
    <t>Frontend de la app móvil. Incluye puesto de trabajo, herramientas de desarrollo y transversales.</t>
  </si>
  <si>
    <t>Backend y API REST. Incluye puesto de trabajo, herramientas de desarrollo, cloud, almacenamiento y transversales.</t>
  </si>
  <si>
    <t>Integración de módulos y servicios. Incluye IA, autenticación, notificaciones, CDN y transversales.</t>
  </si>
  <si>
    <t>Diseño e implementación de la base de datos. Incluye servicio de BD, copias de seguridad y transversales.</t>
  </si>
  <si>
    <t>Validación de funcionalidades. Incluye herramientas de pruebas, entrenamiento de IA y transversales.</t>
  </si>
  <si>
    <t>Pruebas de carga y rendimiento. Incluye herramientas de pruebas y transversales.</t>
  </si>
  <si>
    <t>Auditoría de seguridad. Incluye software de seguridad y transversales.</t>
  </si>
  <si>
    <t>Pruebas en dispositivos y SO. Incluye 2 Android, 1 iPhone y transversales.</t>
  </si>
  <si>
    <t>Corrección de bugs. Incluye gastos transversales.</t>
  </si>
  <si>
    <t>Registro de cuenta de desarrollador (incluye la licencia de la tienda)</t>
  </si>
  <si>
    <t>Ficha técnica y metadatos de la app (incluye herramientas de publicación)</t>
  </si>
  <si>
    <t>Capturas y material gráfico (incluye herramientas de diseño del material)</t>
  </si>
  <si>
    <t>Recursos ya incluidos en cada tarea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</si>
</sst>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m/dd/yy;@"/>
    <numFmt numFmtId="165" formatCode="0.0"/>
    <numFmt numFmtId="166" formatCode="\$#,##0.00_);&quot;($&quot;#,##0.00\)"/>
    <numFmt numFmtId="167" formatCode="\$#,##0_);&quot;($&quot;#,##0\)"/>
    <numFmt numFmtId="168" formatCode="_(\$* #,##0_);_(\$* \(#,##0\);_(\$* \-??_);_(@_)"/>
    <numFmt numFmtId="169" formatCode="_(* #,##0.00_);_(* \(#,##0.00\);_(* \-??_);_(@_)"/>
    <numFmt numFmtId="170" formatCode="&quot;$&quot;#,##0;\(&quot;$&quot;#,##0\);\-"/>
  </numFmts>
  <fonts count="22" x14ac:knownFonts="1">
    <font>
      <sz val="12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10"/>
      <color theme="1"/>
      <name val="Century Gothic"/>
      <family val="1"/>
      <charset val="1"/>
    </font>
    <font>
      <b/>
      <sz val="24"/>
      <color theme="1" tint="0.3498947111423078"/>
      <name val="Century Gothic"/>
      <family val="1"/>
      <charset val="1"/>
    </font>
    <font>
      <b/>
      <sz val="22"/>
      <color theme="1" tint="0.3498947111423078"/>
      <name val="Century Gothic"/>
      <family val="1"/>
      <charset val="1"/>
    </font>
    <font>
      <b/>
      <sz val="20"/>
      <color theme="0" tint="-0.499984740745262"/>
      <name val="Century Gothic"/>
      <family val="1"/>
      <charset val="1"/>
    </font>
    <font>
      <sz val="12"/>
      <color theme="1" tint="0.3498947111423078"/>
      <name val="Century Gothic"/>
      <family val="1"/>
      <charset val="1"/>
    </font>
    <font>
      <b/>
      <sz val="10"/>
      <color theme="0"/>
      <name val="Century Gothic"/>
      <family val="2"/>
      <charset val="1"/>
    </font>
    <font>
      <sz val="10"/>
      <name val="Century Gothic"/>
      <family val="1"/>
      <charset val="1"/>
    </font>
    <font>
      <sz val="10"/>
      <color theme="0"/>
      <name val="Century Gothic"/>
      <family val="1"/>
      <charset val="1"/>
    </font>
    <font>
      <sz val="10"/>
      <name val="Century Gothic"/>
      <family val="2"/>
      <charset val="1"/>
    </font>
    <font>
      <b/>
      <sz val="10"/>
      <name val="Century Gothic"/>
      <family val="1"/>
      <charset val="1"/>
    </font>
    <font>
      <sz val="22"/>
      <color theme="1" tint="0.3498947111423078"/>
      <name val="Century Gothic"/>
      <family val="1"/>
      <charset val="1"/>
    </font>
    <font>
      <b/>
      <sz val="10"/>
      <color theme="1"/>
      <name val="Century Gothic"/>
      <family val="1"/>
      <charset val="1"/>
    </font>
    <font>
      <sz val="10"/>
      <color rgb="FF000000"/>
      <name val="Century Gothic"/>
      <family val="1"/>
      <charset val="1"/>
    </font>
    <font>
      <sz val="11"/>
      <color rgb="FF000000"/>
      <name val="Century Gothic"/>
      <family val="1"/>
      <charset val="1"/>
    </font>
    <font>
      <b/>
      <sz val="12"/>
      <color theme="1"/>
      <name val="Century Gothic"/>
      <family val="1"/>
      <charset val="1"/>
    </font>
    <font>
      <b/>
      <i/>
      <sz val="10"/>
      <color theme="1"/>
      <name val="Century Gothic"/>
      <family val="1"/>
      <charset val="1"/>
    </font>
    <font>
      <sz val="10"/>
      <color rgb="FF0000FF"/>
      <name val="Century Gothic"/>
      <family val="1"/>
      <charset val="1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i/>
      <sz val="10"/>
      <color theme="1"/>
      <name val="Century Gothic"/>
      <family val="1"/>
      <charset val="1"/>
    </font>
  </fonts>
  <fills count="22">
    <fill>
      <patternFill patternType="none"/>
    </fill>
    <fill>
      <patternFill patternType="gray125"/>
    </fill>
    <fill>
      <patternFill patternType="solid">
        <fgColor theme="0"/>
        <bgColor rgb="FFF2F2F2"/>
      </patternFill>
    </fill>
    <fill>
      <patternFill patternType="solid">
        <fgColor theme="1" tint="0.3498947111423078"/>
        <bgColor rgb="FF44546A"/>
      </patternFill>
    </fill>
    <fill>
      <patternFill patternType="solid">
        <fgColor theme="3" tint="-0.249977111117893"/>
        <bgColor rgb="FF44546A"/>
      </patternFill>
    </fill>
    <fill>
      <patternFill patternType="solid">
        <fgColor theme="4" tint="0.79989013336588644"/>
        <bgColor rgb="FFD9D9D9"/>
      </patternFill>
    </fill>
    <fill>
      <patternFill patternType="solid">
        <fgColor theme="0" tint="-4.9989318521683403E-2"/>
        <bgColor rgb="FFFFFFFF"/>
      </patternFill>
    </fill>
    <fill>
      <patternFill patternType="solid">
        <fgColor theme="0" tint="-0.14999847407452621"/>
        <bgColor rgb="FFDAE3F3"/>
      </patternFill>
    </fill>
    <fill>
      <patternFill patternType="solid">
        <fgColor theme="3"/>
        <bgColor rgb="FF595959"/>
      </patternFill>
    </fill>
    <fill>
      <patternFill patternType="solid">
        <fgColor rgb="FFFFF2CC"/>
        <bgColor rgb="FFF2F2F2"/>
      </patternFill>
    </fill>
    <fill>
      <patternFill patternType="solid">
        <fgColor rgb="FFB6FBF5"/>
        <bgColor rgb="FFABEFEA"/>
      </patternFill>
    </fill>
    <fill>
      <patternFill patternType="solid">
        <fgColor rgb="FF00EAF0"/>
        <bgColor rgb="FF00FFFF"/>
      </patternFill>
    </fill>
    <fill>
      <patternFill patternType="solid">
        <fgColor rgb="FFFFC000"/>
        <bgColor rgb="FFFF9900"/>
      </patternFill>
    </fill>
    <fill>
      <patternFill patternType="solid">
        <fgColor rgb="FF92D050"/>
        <bgColor rgb="FFA6A6A6"/>
      </patternFill>
    </fill>
    <fill>
      <patternFill patternType="solid">
        <fgColor rgb="FFFF0000"/>
        <bgColor rgb="FF993300"/>
      </patternFill>
    </fill>
    <fill>
      <patternFill patternType="solid">
        <fgColor rgb="FF00B050"/>
        <bgColor rgb="FF03C25B"/>
      </patternFill>
    </fill>
    <fill>
      <patternFill patternType="solid">
        <fgColor rgb="FFABEFEA"/>
        <bgColor rgb="FFB6FBF5"/>
      </patternFill>
    </fill>
    <fill>
      <patternFill patternType="solid">
        <fgColor rgb="FF5EE9E7"/>
        <bgColor rgb="FFABEFEA"/>
      </patternFill>
    </fill>
    <fill>
      <patternFill patternType="solid">
        <fgColor theme="7" tint="0.39988402966399123"/>
        <bgColor rgb="FFFFF2CC"/>
      </patternFill>
    </fill>
    <fill>
      <patternFill patternType="solid">
        <fgColor rgb="FFFFFF00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2F2F2"/>
        <bgColor indexed="64"/>
      </patternFill>
    </fill>
  </fills>
  <borders count="17">
    <border>
      <left/>
      <right/>
      <top/>
      <bottom/>
      <diagonal/>
    </border>
    <border>
      <left/>
      <right style="dashed">
        <color theme="0" tint="-0.34998626667073579"/>
      </right>
      <top/>
      <bottom/>
      <diagonal/>
    </border>
    <border>
      <left/>
      <right style="thin">
        <color theme="0" tint="-0.249977111117893"/>
      </right>
      <top style="medium">
        <color theme="0" tint="-0.34998626667073579"/>
      </top>
      <bottom style="thin">
        <color theme="0" tint="-0.249977111117893"/>
      </bottom>
      <diagonal/>
    </border>
    <border>
      <left style="thin">
        <color theme="0" tint="-0.249977111117893"/>
      </left>
      <right style="thin">
        <color theme="0" tint="-0.249977111117893"/>
      </right>
      <top style="medium">
        <color theme="0" tint="-0.34998626667073579"/>
      </top>
      <bottom style="thin">
        <color theme="0" tint="-0.249977111117893"/>
      </bottom>
      <diagonal/>
    </border>
    <border>
      <left style="thin">
        <color theme="0" tint="-0.249977111117893"/>
      </left>
      <right style="double">
        <color theme="0" tint="-0.34998626667073579"/>
      </right>
      <top style="medium">
        <color theme="0" tint="-0.34998626667073579"/>
      </top>
      <bottom style="thin">
        <color theme="0" tint="-0.249977111117893"/>
      </bottom>
      <diagonal/>
    </border>
    <border>
      <left style="double">
        <color theme="0" tint="-0.34998626667073579"/>
      </left>
      <right style="medium">
        <color theme="0" tint="-0.34998626667073579"/>
      </right>
      <top style="medium">
        <color theme="0" tint="-0.34998626667073579"/>
      </top>
      <bottom style="thin">
        <color theme="0" tint="-0.249977111117893"/>
      </bottom>
      <diagonal/>
    </border>
    <border>
      <left style="thin">
        <color theme="0" tint="-0.249977111117893"/>
      </left>
      <right style="thin">
        <color theme="0" tint="-0.249977111117893"/>
      </right>
      <top/>
      <bottom style="thin">
        <color theme="0" tint="-0.249977111117893"/>
      </bottom>
      <diagonal/>
    </border>
    <border>
      <left style="thin">
        <color theme="0" tint="-0.249977111117893"/>
      </left>
      <right style="dashed">
        <color theme="0" tint="-0.34998626667073579"/>
      </right>
      <top/>
      <bottom style="thin">
        <color theme="0" tint="-0.249977111117893"/>
      </bottom>
      <diagonal/>
    </border>
    <border>
      <left/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 style="thin">
        <color theme="0" tint="-0.249977111117893"/>
      </left>
      <right style="double">
        <color theme="0" tint="-0.34998626667073579"/>
      </right>
      <top style="thin">
        <color theme="0" tint="-0.249977111117893"/>
      </top>
      <bottom style="thin">
        <color theme="0" tint="-0.249977111117893"/>
      </bottom>
      <diagonal/>
    </border>
    <border>
      <left style="double">
        <color theme="0" tint="-0.34998626667073579"/>
      </left>
      <right style="dashed">
        <color theme="0" tint="-0.34998626667073579"/>
      </right>
      <top style="thin">
        <color theme="0" tint="-0.249977111117893"/>
      </top>
      <bottom style="thin">
        <color theme="0" tint="-0.249977111117893"/>
      </bottom>
      <diagonal/>
    </border>
    <border>
      <left/>
      <right style="medium">
        <color theme="0" tint="-0.34998626667073579"/>
      </right>
      <top style="thin">
        <color theme="0" tint="-0.249977111117893"/>
      </top>
      <bottom style="thin">
        <color theme="0" tint="-0.249977111117893"/>
      </bottom>
      <diagonal/>
    </border>
    <border>
      <left/>
      <right style="medium">
        <color theme="0" tint="-0.34998626667073579"/>
      </right>
      <top/>
      <bottom style="thin">
        <color theme="0" tint="-0.249977111117893"/>
      </bottom>
      <diagonal/>
    </border>
    <border>
      <left style="thin">
        <color theme="0" tint="-0.249977111117893"/>
      </left>
      <right style="dashed">
        <color theme="0" tint="-0.34998626667073579"/>
      </right>
      <top style="thin">
        <color theme="0" tint="-0.249977111117893"/>
      </top>
      <bottom style="thin">
        <color theme="0" tint="-0.249977111117893"/>
      </bottom>
      <diagonal/>
    </border>
    <border>
      <left style="thin">
        <color theme="0" tint="-0.249977111117893"/>
      </left>
      <right style="thin">
        <color theme="0" tint="-0.249977111117893"/>
      </right>
      <top style="thick">
        <color theme="0" tint="-0.249977111117893"/>
      </top>
      <bottom style="thin">
        <color theme="0" tint="-0.249977111117893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1" fillId="0" borderId="0"/>
  </cellStyleXfs>
  <cellXfs count="95">
    <xf numFmtId="0" fontId="0" fillId="0" borderId="0" xfId="0"/>
    <xf numFmtId="0" fontId="2" fillId="0" borderId="0" xfId="0" applyFont="1" applyAlignment="1">
      <alignment wrapText="1"/>
    </xf>
    <xf numFmtId="0" fontId="2" fillId="2" borderId="0" xfId="0" applyFont="1" applyFill="1" applyAlignment="1">
      <alignment wrapText="1"/>
    </xf>
    <xf numFmtId="0" fontId="3" fillId="2" borderId="0" xfId="0" applyFont="1" applyFill="1" applyAlignment="1">
      <alignment vertical="center"/>
    </xf>
    <xf numFmtId="0" fontId="4" fillId="2" borderId="0" xfId="0" applyFont="1" applyFill="1" applyAlignment="1">
      <alignment vertical="center"/>
    </xf>
    <xf numFmtId="0" fontId="5" fillId="2" borderId="0" xfId="0" applyFont="1" applyFill="1" applyAlignment="1">
      <alignment vertical="center"/>
    </xf>
    <xf numFmtId="0" fontId="2" fillId="2" borderId="0" xfId="0" applyFont="1" applyFill="1" applyAlignment="1">
      <alignment horizontal="left" vertical="center" wrapText="1" indent="1"/>
    </xf>
    <xf numFmtId="0" fontId="6" fillId="2" borderId="0" xfId="0" applyFont="1" applyFill="1" applyAlignment="1">
      <alignment vertical="center"/>
    </xf>
    <xf numFmtId="0" fontId="6" fillId="2" borderId="1" xfId="0" applyFont="1" applyFill="1" applyBorder="1" applyAlignment="1">
      <alignment vertical="center"/>
    </xf>
    <xf numFmtId="0" fontId="2" fillId="0" borderId="0" xfId="0" applyFont="1" applyAlignment="1">
      <alignment horizontal="left" vertical="center" wrapText="1" indent="1"/>
    </xf>
    <xf numFmtId="0" fontId="7" fillId="4" borderId="6" xfId="0" applyFont="1" applyFill="1" applyBorder="1" applyAlignment="1">
      <alignment horizontal="left" vertical="center" wrapText="1" indent="1"/>
    </xf>
    <xf numFmtId="0" fontId="7" fillId="4" borderId="6" xfId="0" applyFont="1" applyFill="1" applyBorder="1" applyAlignment="1">
      <alignment horizontal="center" vertical="center" wrapText="1"/>
    </xf>
    <xf numFmtId="0" fontId="7" fillId="4" borderId="7" xfId="0" applyFont="1" applyFill="1" applyBorder="1" applyAlignment="1">
      <alignment horizontal="center" vertical="center" wrapText="1"/>
    </xf>
    <xf numFmtId="0" fontId="7" fillId="4" borderId="8" xfId="0" applyFont="1" applyFill="1" applyBorder="1" applyAlignment="1">
      <alignment horizontal="center" vertical="center" wrapText="1"/>
    </xf>
    <xf numFmtId="0" fontId="7" fillId="4" borderId="9" xfId="0" applyFont="1" applyFill="1" applyBorder="1" applyAlignment="1">
      <alignment horizontal="center" vertical="center" wrapText="1"/>
    </xf>
    <xf numFmtId="0" fontId="7" fillId="4" borderId="10" xfId="0" applyFont="1" applyFill="1" applyBorder="1" applyAlignment="1">
      <alignment horizontal="center" vertical="center" wrapText="1"/>
    </xf>
    <xf numFmtId="0" fontId="7" fillId="4" borderId="11" xfId="0" applyFont="1" applyFill="1" applyBorder="1" applyAlignment="1">
      <alignment horizontal="center" vertical="center" wrapText="1"/>
    </xf>
    <xf numFmtId="0" fontId="7" fillId="4" borderId="12" xfId="0" applyFont="1" applyFill="1" applyBorder="1" applyAlignment="1">
      <alignment horizontal="center" vertical="center" wrapText="1"/>
    </xf>
    <xf numFmtId="0" fontId="7" fillId="4" borderId="13" xfId="0" applyFont="1" applyFill="1" applyBorder="1" applyAlignment="1">
      <alignment horizontal="center" vertical="center" wrapText="1"/>
    </xf>
    <xf numFmtId="0" fontId="2" fillId="5" borderId="9" xfId="0" applyFont="1" applyFill="1" applyBorder="1" applyAlignment="1">
      <alignment horizontal="left" vertical="center" wrapText="1" indent="1"/>
    </xf>
    <xf numFmtId="164" fontId="2" fillId="5" borderId="9" xfId="0" applyNumberFormat="1" applyFont="1" applyFill="1" applyBorder="1" applyAlignment="1">
      <alignment horizontal="left" vertical="center" wrapText="1" indent="1"/>
    </xf>
    <xf numFmtId="164" fontId="2" fillId="5" borderId="14" xfId="0" applyNumberFormat="1" applyFont="1" applyFill="1" applyBorder="1" applyAlignment="1">
      <alignment horizontal="left" vertical="center" wrapText="1" indent="1"/>
    </xf>
    <xf numFmtId="0" fontId="2" fillId="5" borderId="8" xfId="0" applyFont="1" applyFill="1" applyBorder="1" applyAlignment="1">
      <alignment horizontal="left" vertical="center"/>
    </xf>
    <xf numFmtId="0" fontId="2" fillId="5" borderId="9" xfId="0" applyFont="1" applyFill="1" applyBorder="1" applyAlignment="1">
      <alignment horizontal="left" vertical="center"/>
    </xf>
    <xf numFmtId="0" fontId="2" fillId="5" borderId="10" xfId="0" applyFont="1" applyFill="1" applyBorder="1" applyAlignment="1">
      <alignment horizontal="center" vertical="center"/>
    </xf>
    <xf numFmtId="0" fontId="2" fillId="5" borderId="11" xfId="0" applyFont="1" applyFill="1" applyBorder="1" applyAlignment="1">
      <alignment horizontal="center" vertical="center"/>
    </xf>
    <xf numFmtId="0" fontId="2" fillId="5" borderId="12" xfId="0" applyFont="1" applyFill="1" applyBorder="1" applyAlignment="1">
      <alignment horizontal="center" vertical="center"/>
    </xf>
    <xf numFmtId="0" fontId="2" fillId="0" borderId="9" xfId="0" applyFont="1" applyBorder="1" applyAlignment="1" applyProtection="1">
      <alignment horizontal="left" vertical="center" wrapText="1" indent="1"/>
      <protection locked="0"/>
    </xf>
    <xf numFmtId="0" fontId="2" fillId="2" borderId="9" xfId="0" applyFont="1" applyFill="1" applyBorder="1" applyAlignment="1">
      <alignment horizontal="left" vertical="center" wrapText="1" indent="1"/>
    </xf>
    <xf numFmtId="164" fontId="2" fillId="0" borderId="9" xfId="0" applyNumberFormat="1" applyFont="1" applyBorder="1" applyAlignment="1" applyProtection="1">
      <alignment horizontal="left" vertical="center" wrapText="1" indent="1"/>
      <protection locked="0"/>
    </xf>
    <xf numFmtId="164" fontId="2" fillId="0" borderId="14" xfId="0" applyNumberFormat="1" applyFont="1" applyBorder="1" applyAlignment="1" applyProtection="1">
      <alignment horizontal="left" vertical="center" wrapText="1" indent="1"/>
      <protection locked="0"/>
    </xf>
    <xf numFmtId="165" fontId="8" fillId="0" borderId="8" xfId="0" applyNumberFormat="1" applyFont="1" applyBorder="1" applyAlignment="1" applyProtection="1">
      <alignment horizontal="center" vertical="center"/>
      <protection locked="0"/>
    </xf>
    <xf numFmtId="166" fontId="8" fillId="0" borderId="9" xfId="0" applyNumberFormat="1" applyFont="1" applyBorder="1" applyAlignment="1" applyProtection="1">
      <alignment horizontal="right" vertical="center"/>
      <protection locked="0"/>
    </xf>
    <xf numFmtId="167" fontId="8" fillId="5" borderId="9" xfId="0" applyNumberFormat="1" applyFont="1" applyFill="1" applyBorder="1" applyAlignment="1" applyProtection="1">
      <alignment horizontal="right" vertical="center"/>
      <protection locked="0"/>
    </xf>
    <xf numFmtId="165" fontId="8" fillId="0" borderId="9" xfId="0" applyNumberFormat="1" applyFont="1" applyBorder="1" applyAlignment="1" applyProtection="1">
      <alignment horizontal="center" vertical="center"/>
      <protection locked="0"/>
    </xf>
    <xf numFmtId="167" fontId="8" fillId="0" borderId="9" xfId="0" applyNumberFormat="1" applyFont="1" applyBorder="1" applyAlignment="1" applyProtection="1">
      <alignment horizontal="right" vertical="center"/>
      <protection locked="0"/>
    </xf>
    <xf numFmtId="167" fontId="8" fillId="0" borderId="10" xfId="0" applyNumberFormat="1" applyFont="1" applyBorder="1" applyAlignment="1" applyProtection="1">
      <alignment vertical="center"/>
      <protection locked="0"/>
    </xf>
    <xf numFmtId="168" fontId="2" fillId="0" borderId="11" xfId="0" applyNumberFormat="1" applyFont="1" applyBorder="1" applyAlignment="1">
      <alignment vertical="center"/>
    </xf>
    <xf numFmtId="168" fontId="8" fillId="6" borderId="12" xfId="0" applyNumberFormat="1" applyFont="1" applyFill="1" applyBorder="1" applyAlignment="1" applyProtection="1">
      <alignment horizontal="left" vertical="center"/>
      <protection locked="0"/>
    </xf>
    <xf numFmtId="168" fontId="2" fillId="7" borderId="12" xfId="0" applyNumberFormat="1" applyFont="1" applyFill="1" applyBorder="1" applyAlignment="1">
      <alignment horizontal="left" vertical="center"/>
    </xf>
    <xf numFmtId="0" fontId="7" fillId="8" borderId="9" xfId="0" applyFont="1" applyFill="1" applyBorder="1" applyAlignment="1">
      <alignment horizontal="left" vertical="center" wrapText="1" indent="1"/>
    </xf>
    <xf numFmtId="0" fontId="9" fillId="8" borderId="9" xfId="0" applyFont="1" applyFill="1" applyBorder="1" applyAlignment="1">
      <alignment horizontal="left" vertical="center" wrapText="1" indent="1"/>
    </xf>
    <xf numFmtId="164" fontId="7" fillId="8" borderId="9" xfId="0" applyNumberFormat="1" applyFont="1" applyFill="1" applyBorder="1" applyAlignment="1">
      <alignment horizontal="left" vertical="center" wrapText="1" indent="1"/>
    </xf>
    <xf numFmtId="164" fontId="7" fillId="8" borderId="14" xfId="0" applyNumberFormat="1" applyFont="1" applyFill="1" applyBorder="1" applyAlignment="1">
      <alignment horizontal="left" vertical="center" wrapText="1" indent="1"/>
    </xf>
    <xf numFmtId="165" fontId="10" fillId="8" borderId="8" xfId="0" applyNumberFormat="1" applyFont="1" applyFill="1" applyBorder="1" applyAlignment="1" applyProtection="1">
      <alignment horizontal="left" vertical="center"/>
      <protection locked="0"/>
    </xf>
    <xf numFmtId="166" fontId="7" fillId="8" borderId="9" xfId="0" applyNumberFormat="1" applyFont="1" applyFill="1" applyBorder="1" applyAlignment="1" applyProtection="1">
      <alignment vertical="center"/>
      <protection locked="0"/>
    </xf>
    <xf numFmtId="167" fontId="7" fillId="8" borderId="9" xfId="0" applyNumberFormat="1" applyFont="1" applyFill="1" applyBorder="1" applyAlignment="1" applyProtection="1">
      <alignment vertical="center"/>
      <protection locked="0"/>
    </xf>
    <xf numFmtId="167" fontId="7" fillId="8" borderId="10" xfId="0" applyNumberFormat="1" applyFont="1" applyFill="1" applyBorder="1" applyAlignment="1" applyProtection="1">
      <alignment vertical="center"/>
      <protection locked="0"/>
    </xf>
    <xf numFmtId="168" fontId="7" fillId="8" borderId="11" xfId="0" applyNumberFormat="1" applyFont="1" applyFill="1" applyBorder="1" applyAlignment="1">
      <alignment vertical="center"/>
    </xf>
    <xf numFmtId="168" fontId="7" fillId="8" borderId="12" xfId="0" applyNumberFormat="1" applyFont="1" applyFill="1" applyBorder="1" applyAlignment="1" applyProtection="1">
      <alignment vertical="center"/>
      <protection locked="0"/>
    </xf>
    <xf numFmtId="0" fontId="9" fillId="2" borderId="0" xfId="0" applyFont="1" applyFill="1" applyAlignment="1">
      <alignment horizontal="left" vertical="center" wrapText="1" indent="1"/>
    </xf>
    <xf numFmtId="165" fontId="8" fillId="2" borderId="0" xfId="0" applyNumberFormat="1" applyFont="1" applyFill="1" applyAlignment="1" applyProtection="1">
      <alignment horizontal="left" vertical="center" wrapText="1" indent="1"/>
      <protection locked="0"/>
    </xf>
    <xf numFmtId="166" fontId="8" fillId="2" borderId="0" xfId="0" applyNumberFormat="1" applyFont="1" applyFill="1" applyAlignment="1" applyProtection="1">
      <alignment horizontal="left" vertical="center" wrapText="1" indent="1"/>
      <protection locked="0"/>
    </xf>
    <xf numFmtId="169" fontId="8" fillId="2" borderId="0" xfId="0" applyNumberFormat="1" applyFont="1" applyFill="1" applyAlignment="1">
      <alignment horizontal="left" vertical="center" wrapText="1" indent="1"/>
    </xf>
    <xf numFmtId="169" fontId="11" fillId="2" borderId="0" xfId="0" applyNumberFormat="1" applyFont="1" applyFill="1" applyAlignment="1" applyProtection="1">
      <alignment horizontal="left" vertical="center" wrapText="1" indent="1"/>
      <protection locked="0"/>
    </xf>
    <xf numFmtId="0" fontId="12" fillId="2" borderId="0" xfId="0" applyFont="1" applyFill="1" applyAlignment="1">
      <alignment vertical="center"/>
    </xf>
    <xf numFmtId="0" fontId="13" fillId="7" borderId="15" xfId="0" applyFont="1" applyFill="1" applyBorder="1" applyAlignment="1">
      <alignment horizontal="center" vertical="center" wrapText="1"/>
    </xf>
    <xf numFmtId="0" fontId="14" fillId="10" borderId="9" xfId="0" applyFont="1" applyFill="1" applyBorder="1" applyAlignment="1">
      <alignment horizontal="center" vertical="center"/>
    </xf>
    <xf numFmtId="0" fontId="14" fillId="11" borderId="9" xfId="0" applyFont="1" applyFill="1" applyBorder="1" applyAlignment="1">
      <alignment horizontal="left" vertical="center" indent="1"/>
    </xf>
    <xf numFmtId="0" fontId="2" fillId="9" borderId="9" xfId="0" applyFont="1" applyFill="1" applyBorder="1" applyAlignment="1">
      <alignment horizontal="left" vertical="center" wrapText="1" indent="1"/>
    </xf>
    <xf numFmtId="0" fontId="14" fillId="7" borderId="9" xfId="0" applyFont="1" applyFill="1" applyBorder="1" applyAlignment="1">
      <alignment horizontal="center" vertical="center"/>
    </xf>
    <xf numFmtId="0" fontId="14" fillId="12" borderId="9" xfId="0" applyFont="1" applyFill="1" applyBorder="1" applyAlignment="1">
      <alignment horizontal="left" vertical="center" indent="1"/>
    </xf>
    <xf numFmtId="0" fontId="14" fillId="13" borderId="9" xfId="0" applyFont="1" applyFill="1" applyBorder="1" applyAlignment="1">
      <alignment horizontal="left" vertical="center" wrapText="1" indent="1" readingOrder="1"/>
    </xf>
    <xf numFmtId="0" fontId="14" fillId="14" borderId="9" xfId="0" applyFont="1" applyFill="1" applyBorder="1" applyAlignment="1">
      <alignment horizontal="left" vertical="center" indent="1"/>
    </xf>
    <xf numFmtId="0" fontId="14" fillId="15" borderId="9" xfId="0" applyFont="1" applyFill="1" applyBorder="1" applyAlignment="1">
      <alignment horizontal="left" vertical="center" wrapText="1" indent="1" readingOrder="1"/>
    </xf>
    <xf numFmtId="0" fontId="15" fillId="0" borderId="0" xfId="0" applyFont="1"/>
    <xf numFmtId="0" fontId="2" fillId="16" borderId="9" xfId="0" applyFont="1" applyFill="1" applyBorder="1" applyAlignment="1">
      <alignment horizontal="left" vertical="center" wrapText="1" indent="1"/>
    </xf>
    <xf numFmtId="0" fontId="2" fillId="17" borderId="9" xfId="0" applyFont="1" applyFill="1" applyBorder="1" applyAlignment="1">
      <alignment horizontal="left" vertical="center" wrapText="1" indent="1"/>
    </xf>
    <xf numFmtId="0" fontId="2" fillId="18" borderId="9" xfId="0" applyFont="1" applyFill="1" applyBorder="1" applyAlignment="1">
      <alignment horizontal="left" vertical="center" wrapText="1" indent="1"/>
    </xf>
    <xf numFmtId="0" fontId="2" fillId="7" borderId="9" xfId="0" applyFont="1" applyFill="1" applyBorder="1" applyAlignment="1">
      <alignment horizontal="left" vertical="center" wrapText="1" indent="1"/>
    </xf>
    <xf numFmtId="0" fontId="2" fillId="0" borderId="9" xfId="0" applyFont="1" applyBorder="1" applyAlignment="1">
      <alignment horizontal="left" vertical="center" wrapText="1" indent="1"/>
    </xf>
    <xf numFmtId="0" fontId="7" fillId="3" borderId="2" xfId="0" applyFont="1" applyFill="1" applyBorder="1" applyAlignment="1">
      <alignment horizontal="center" vertical="center" wrapText="1"/>
    </xf>
    <xf numFmtId="0" fontId="7" fillId="3" borderId="3" xfId="0" applyFont="1" applyFill="1" applyBorder="1" applyAlignment="1">
      <alignment horizontal="center" vertical="center" wrapText="1"/>
    </xf>
    <xf numFmtId="0" fontId="7" fillId="3" borderId="4" xfId="0" applyFont="1" applyFill="1" applyBorder="1" applyAlignment="1">
      <alignment horizontal="center" vertical="center" wrapText="1"/>
    </xf>
    <xf numFmtId="0" fontId="7" fillId="3" borderId="5" xfId="0" applyFont="1" applyFill="1" applyBorder="1" applyAlignment="1">
      <alignment horizontal="center" vertical="center" wrapText="1"/>
    </xf>
    <xf numFmtId="0" fontId="16" fillId="20" borderId="0" xfId="0" applyFont="1" applyFill="1" applyAlignment="1">
      <alignment wrapText="1"/>
    </xf>
    <xf numFmtId="0" fontId="2" fillId="20" borderId="0" xfId="0" applyFont="1" applyFill="1" applyAlignment="1">
      <alignment wrapText="1"/>
    </xf>
    <xf numFmtId="170" fontId="13" fillId="20" borderId="0" xfId="0" applyNumberFormat="1" applyFont="1" applyFill="1" applyAlignment="1">
      <alignment wrapText="1"/>
    </xf>
    <xf numFmtId="0" fontId="2" fillId="0" borderId="0" xfId="0" applyFont="1" applyAlignment="1"/>
    <xf numFmtId="0" fontId="2" fillId="2" borderId="0" xfId="0" applyFont="1" applyFill="1" applyAlignment="1"/>
    <xf numFmtId="0" fontId="13" fillId="20" borderId="16" xfId="0" applyFont="1" applyFill="1" applyBorder="1" applyAlignment="1"/>
    <xf numFmtId="0" fontId="13" fillId="20" borderId="16" xfId="0" applyFont="1" applyFill="1" applyBorder="1" applyAlignment="1">
      <alignment horizontal="right"/>
    </xf>
    <xf numFmtId="0" fontId="2" fillId="21" borderId="16" xfId="0" applyFont="1" applyFill="1" applyBorder="1" applyAlignment="1"/>
    <xf numFmtId="0" fontId="2" fillId="0" borderId="16" xfId="0" applyFont="1" applyBorder="1" applyAlignment="1"/>
    <xf numFmtId="170" fontId="18" fillId="2" borderId="16" xfId="0" applyNumberFormat="1" applyFont="1" applyFill="1" applyBorder="1" applyAlignment="1"/>
    <xf numFmtId="0" fontId="2" fillId="2" borderId="16" xfId="0" applyFont="1" applyFill="1" applyBorder="1" applyAlignment="1"/>
    <xf numFmtId="170" fontId="13" fillId="21" borderId="16" xfId="0" applyNumberFormat="1" applyFont="1" applyFill="1" applyBorder="1" applyAlignment="1"/>
    <xf numFmtId="3" fontId="2" fillId="2" borderId="16" xfId="0" applyNumberFormat="1" applyFont="1" applyFill="1" applyBorder="1" applyAlignment="1"/>
    <xf numFmtId="170" fontId="13" fillId="19" borderId="16" xfId="0" applyNumberFormat="1" applyFont="1" applyFill="1" applyBorder="1" applyAlignment="1"/>
    <xf numFmtId="0" fontId="16" fillId="0" borderId="0" xfId="0" applyFont="1" applyAlignment="1"/>
    <xf numFmtId="0" fontId="17" fillId="21" borderId="16" xfId="0" applyFont="1" applyFill="1" applyBorder="1" applyAlignment="1"/>
    <xf numFmtId="0" fontId="13" fillId="21" borderId="16" xfId="0" applyFont="1" applyFill="1" applyBorder="1" applyAlignment="1"/>
    <xf numFmtId="0" fontId="13" fillId="0" borderId="16" xfId="0" applyFont="1" applyBorder="1" applyAlignment="1"/>
    <xf numFmtId="170" fontId="8" fillId="0" borderId="9" xfId="0" applyNumberFormat="1" applyFont="1" applyBorder="1" applyAlignment="1" applyProtection="1">
      <alignment horizontal="right" vertical="center"/>
      <protection locked="0"/>
    </xf>
    <xf numFmtId="0" fontId="21" fillId="20" borderId="0" xfId="0" applyFont="1" applyFill="1" applyAlignment="1"/>
  </cellXfs>
  <cellStyles count="2">
    <cellStyle name="Normal" xfId="0" builtinId="0"/>
    <cellStyle name="Normal 2" xfId="1" xr:uid="{00000000-0005-0000-0000-000006000000}"/>
  </cellStyles>
  <dxfs count="87">
    <dxf>
      <font>
        <color rgb="FF000000"/>
      </font>
      <fill>
        <patternFill>
          <bgColor rgb="FF92D050"/>
        </patternFill>
      </fill>
    </dxf>
    <dxf>
      <font>
        <color rgb="FF000000"/>
      </font>
      <fill>
        <patternFill>
          <bgColor rgb="FF03C25B"/>
        </patternFill>
      </fill>
    </dxf>
    <dxf>
      <fill>
        <patternFill>
          <bgColor theme="7" tint="0.39988402966399123"/>
        </patternFill>
      </fill>
    </dxf>
    <dxf>
      <fill>
        <patternFill>
          <bgColor theme="0" tint="-0.14999847407452621"/>
        </patternFill>
      </fill>
    </dxf>
    <dxf>
      <fill>
        <patternFill>
          <bgColor theme="7" tint="0.79989013336588644"/>
        </patternFill>
      </fill>
    </dxf>
    <dxf>
      <fill>
        <patternFill>
          <bgColor rgb="FFABEFEA"/>
        </patternFill>
      </fill>
    </dxf>
    <dxf>
      <fill>
        <patternFill>
          <bgColor rgb="FF5EE9E7"/>
        </patternFill>
      </fill>
    </dxf>
    <dxf>
      <font>
        <color rgb="FF000000"/>
      </font>
      <fill>
        <patternFill>
          <bgColor rgb="FFFF0000"/>
        </patternFill>
      </fill>
    </dxf>
    <dxf>
      <font>
        <color rgb="FF000000"/>
      </font>
      <fill>
        <patternFill>
          <bgColor rgb="FFFFC000"/>
        </patternFill>
      </fill>
    </dxf>
    <dxf>
      <font>
        <color rgb="FF000000"/>
      </font>
      <fill>
        <patternFill>
          <bgColor rgb="FF00EAF0"/>
        </patternFill>
      </fill>
    </dxf>
    <dxf>
      <font>
        <color rgb="FF600000"/>
      </font>
      <fill>
        <patternFill>
          <bgColor rgb="FFFF927C"/>
        </patternFill>
      </fill>
    </dxf>
    <dxf>
      <font>
        <color rgb="FF000000"/>
      </font>
      <fill>
        <patternFill>
          <bgColor rgb="FFE7FFCA"/>
        </patternFill>
      </fill>
    </dxf>
    <dxf>
      <font>
        <color rgb="FF000000"/>
      </font>
      <fill>
        <patternFill>
          <bgColor rgb="FF92D050"/>
        </patternFill>
      </fill>
    </dxf>
    <dxf>
      <font>
        <color rgb="FF000000"/>
      </font>
      <fill>
        <patternFill>
          <bgColor rgb="FF03C25B"/>
        </patternFill>
      </fill>
    </dxf>
    <dxf>
      <fill>
        <patternFill>
          <bgColor theme="7" tint="0.39988402966399123"/>
        </patternFill>
      </fill>
    </dxf>
    <dxf>
      <fill>
        <patternFill>
          <bgColor theme="0" tint="-0.14999847407452621"/>
        </patternFill>
      </fill>
    </dxf>
    <dxf>
      <fill>
        <patternFill>
          <bgColor theme="7" tint="0.79989013336588644"/>
        </patternFill>
      </fill>
    </dxf>
    <dxf>
      <fill>
        <patternFill>
          <bgColor rgb="FFABEFEA"/>
        </patternFill>
      </fill>
    </dxf>
    <dxf>
      <fill>
        <patternFill>
          <bgColor rgb="FF5EE9E7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ABEFEA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theme="0" tint="-0.249977111117893"/>
        </patternFill>
      </fill>
    </dxf>
    <dxf>
      <fill>
        <patternFill>
          <bgColor rgb="FF5EE9E7"/>
        </patternFill>
      </fill>
    </dxf>
    <dxf>
      <fill>
        <patternFill>
          <bgColor rgb="FFFFF2CC"/>
        </patternFill>
      </fill>
    </dxf>
    <dxf>
      <font>
        <color rgb="FF000000"/>
      </font>
      <fill>
        <patternFill>
          <bgColor rgb="FF92D050"/>
        </patternFill>
      </fill>
    </dxf>
    <dxf>
      <font>
        <color rgb="FF000000"/>
      </font>
      <fill>
        <patternFill>
          <bgColor rgb="FF03C25B"/>
        </patternFill>
      </fill>
    </dxf>
    <dxf>
      <fill>
        <patternFill>
          <bgColor theme="7" tint="0.39988402966399123"/>
        </patternFill>
      </fill>
    </dxf>
    <dxf>
      <fill>
        <patternFill>
          <bgColor theme="0" tint="-0.14999847407452621"/>
        </patternFill>
      </fill>
    </dxf>
    <dxf>
      <fill>
        <patternFill>
          <bgColor theme="7" tint="0.79989013336588644"/>
        </patternFill>
      </fill>
    </dxf>
    <dxf>
      <fill>
        <patternFill>
          <bgColor rgb="FFABEFEA"/>
        </patternFill>
      </fill>
    </dxf>
    <dxf>
      <fill>
        <patternFill>
          <bgColor rgb="FF5EE9E7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ABEFEA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theme="0" tint="-0.249977111117893"/>
        </patternFill>
      </fill>
    </dxf>
    <dxf>
      <fill>
        <patternFill>
          <bgColor rgb="FF5EE9E7"/>
        </patternFill>
      </fill>
    </dxf>
    <dxf>
      <fill>
        <patternFill>
          <bgColor rgb="FFFFF2CC"/>
        </patternFill>
      </fill>
    </dxf>
    <dxf>
      <font>
        <color rgb="FF000000"/>
      </font>
      <fill>
        <patternFill>
          <bgColor rgb="FF92D050"/>
        </patternFill>
      </fill>
    </dxf>
    <dxf>
      <font>
        <color rgb="FF000000"/>
      </font>
      <fill>
        <patternFill>
          <bgColor rgb="FF03C25B"/>
        </patternFill>
      </fill>
    </dxf>
    <dxf>
      <fill>
        <patternFill>
          <bgColor theme="7" tint="0.39988402966399123"/>
        </patternFill>
      </fill>
    </dxf>
    <dxf>
      <fill>
        <patternFill>
          <bgColor theme="0" tint="-0.14999847407452621"/>
        </patternFill>
      </fill>
    </dxf>
    <dxf>
      <fill>
        <patternFill>
          <bgColor theme="7" tint="0.79989013336588644"/>
        </patternFill>
      </fill>
    </dxf>
    <dxf>
      <fill>
        <patternFill>
          <bgColor rgb="FFABEFEA"/>
        </patternFill>
      </fill>
    </dxf>
    <dxf>
      <fill>
        <patternFill>
          <bgColor rgb="FF5EE9E7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ABEFEA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theme="0" tint="-0.249977111117893"/>
        </patternFill>
      </fill>
    </dxf>
    <dxf>
      <fill>
        <patternFill>
          <bgColor rgb="FF5EE9E7"/>
        </patternFill>
      </fill>
    </dxf>
    <dxf>
      <fill>
        <patternFill>
          <bgColor rgb="FFFFF2CC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ABEFEA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theme="0" tint="-0.249977111117893"/>
        </patternFill>
      </fill>
    </dxf>
    <dxf>
      <fill>
        <patternFill>
          <bgColor rgb="FF5EE9E7"/>
        </patternFill>
      </fill>
    </dxf>
    <dxf>
      <fill>
        <patternFill>
          <bgColor rgb="FFFFF2CC"/>
        </patternFill>
      </fill>
    </dxf>
    <dxf>
      <font>
        <color rgb="FF000000"/>
      </font>
      <fill>
        <patternFill>
          <bgColor rgb="FF92D050"/>
        </patternFill>
      </fill>
    </dxf>
    <dxf>
      <font>
        <color rgb="FF000000"/>
      </font>
      <fill>
        <patternFill>
          <bgColor rgb="FF03C25B"/>
        </patternFill>
      </fill>
    </dxf>
    <dxf>
      <fill>
        <patternFill>
          <bgColor theme="7" tint="0.39988402966399123"/>
        </patternFill>
      </fill>
    </dxf>
    <dxf>
      <fill>
        <patternFill>
          <bgColor theme="0" tint="-0.14999847407452621"/>
        </patternFill>
      </fill>
    </dxf>
    <dxf>
      <fill>
        <patternFill>
          <bgColor theme="7" tint="0.79989013336588644"/>
        </patternFill>
      </fill>
    </dxf>
    <dxf>
      <fill>
        <patternFill>
          <bgColor rgb="FFABEFEA"/>
        </patternFill>
      </fill>
    </dxf>
    <dxf>
      <fill>
        <patternFill>
          <bgColor rgb="FF5EE9E7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ABEFEA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theme="0" tint="-0.249977111117893"/>
        </patternFill>
      </fill>
    </dxf>
    <dxf>
      <fill>
        <patternFill>
          <bgColor rgb="FF5EE9E7"/>
        </patternFill>
      </fill>
    </dxf>
    <dxf>
      <fill>
        <patternFill>
          <bgColor rgb="FFFFF2CC"/>
        </patternFill>
      </fill>
    </dxf>
    <dxf>
      <font>
        <color rgb="FF000000"/>
      </font>
      <fill>
        <patternFill>
          <bgColor rgb="FF92D050"/>
        </patternFill>
      </fill>
    </dxf>
    <dxf>
      <font>
        <color rgb="FF000000"/>
      </font>
      <fill>
        <patternFill>
          <bgColor rgb="FF03C25B"/>
        </patternFill>
      </fill>
    </dxf>
    <dxf>
      <fill>
        <patternFill>
          <bgColor theme="7" tint="0.39988402966399123"/>
        </patternFill>
      </fill>
    </dxf>
    <dxf>
      <fill>
        <patternFill>
          <bgColor theme="0" tint="-0.14999847407452621"/>
        </patternFill>
      </fill>
    </dxf>
    <dxf>
      <fill>
        <patternFill>
          <bgColor theme="7" tint="0.79989013336588644"/>
        </patternFill>
      </fill>
    </dxf>
    <dxf>
      <fill>
        <patternFill>
          <bgColor rgb="FFABEFEA"/>
        </patternFill>
      </fill>
    </dxf>
    <dxf>
      <fill>
        <patternFill>
          <bgColor rgb="FF5EE9E7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EAF0"/>
      <rgbColor rgb="FF600000"/>
      <rgbColor rgb="FF008000"/>
      <rgbColor rgb="FF000080"/>
      <rgbColor rgb="FF808000"/>
      <rgbColor rgb="FF800080"/>
      <rgbColor rgb="FF03C25B"/>
      <rgbColor rgb="FFBFBFBF"/>
      <rgbColor rgb="FF808080"/>
      <rgbColor rgb="FF9999FF"/>
      <rgbColor rgb="FF993366"/>
      <rgbColor rgb="FFFFF2CC"/>
      <rgbColor rgb="FFB6FBF5"/>
      <rgbColor rgb="FF660066"/>
      <rgbColor rgb="FFFF927C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B0F0"/>
      <rgbColor rgb="FFABEFEA"/>
      <rgbColor rgb="FFE7FFCA"/>
      <rgbColor rgb="FFF2F2F2"/>
      <rgbColor rgb="FFADB9CA"/>
      <rgbColor rgb="FFFF99CC"/>
      <rgbColor rgb="FFDAE3F3"/>
      <rgbColor rgb="FFFFD966"/>
      <rgbColor rgb="FF4472C4"/>
      <rgbColor rgb="FF5EE9E7"/>
      <rgbColor rgb="FF92D050"/>
      <rgbColor rgb="FFFFC000"/>
      <rgbColor rgb="FFFF9900"/>
      <rgbColor rgb="FFFF6600"/>
      <rgbColor rgb="FF595959"/>
      <rgbColor rgb="FFA6A6A6"/>
      <rgbColor rgb="FF003366"/>
      <rgbColor rgb="FF00B050"/>
      <rgbColor rgb="FF003300"/>
      <rgbColor rgb="FF333300"/>
      <rgbColor rgb="FF993300"/>
      <rgbColor rgb="FF993366"/>
      <rgbColor rgb="FF44546A"/>
      <rgbColor rgb="FF333F4F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tint val="100000"/>
                <a:shade val="100000"/>
              </a:schemeClr>
            </a:gs>
            <a:gs pos="100000">
              <a:schemeClr val="phClr">
                <a:tint val="50000"/>
                <a:shade val="100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525" row="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E7BF8FFE-2846-484B-8651-37611A8D918F}">
  <we:reference id="wa200009404" version="1.0.0.8" store="es-MX" storeType="OMEX"/>
  <we:alternateReferences>
    <we:reference id="WA200009404" version="1.0.0.8" store="WA200009404" storeType="OMEX"/>
  </we:alternateReferences>
  <we:properties>
    <we:property name="claude.fileId" value="&quot;7fac9845-6616-466f-a074-62bf24599116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ADB9CA"/>
    <pageSetUpPr fitToPage="1"/>
  </sheetPr>
  <dimension ref="A1:AO331"/>
  <sheetViews>
    <sheetView showGridLines="0" tabSelected="1" zoomScale="40" zoomScaleNormal="40" workbookViewId="0">
      <selection activeCell="V8" sqref="V8"/>
    </sheetView>
  </sheetViews>
  <sheetFormatPr baseColWidth="10" defaultColWidth="11" defaultRowHeight="13.5" x14ac:dyDescent="0.25"/>
  <cols>
    <col min="1" max="1" width="3.125" style="1" customWidth="1"/>
    <col min="2" max="2" width="35" style="1" customWidth="1"/>
    <col min="3" max="3" width="43.375" style="1" customWidth="1"/>
    <col min="4" max="4" width="12.875" style="1" customWidth="1"/>
    <col min="5" max="7" width="11.625" style="1" customWidth="1"/>
    <col min="8" max="8" width="8.875" style="1" customWidth="1"/>
    <col min="9" max="9" width="10" style="1" customWidth="1"/>
    <col min="10" max="10" width="11.875" style="1" customWidth="1"/>
    <col min="11" max="11" width="8.875" style="1" customWidth="1"/>
    <col min="12" max="12" width="12.5" style="1" bestFit="1" customWidth="1"/>
    <col min="13" max="16" width="11.875" style="1" customWidth="1"/>
    <col min="17" max="18" width="12.875" style="1" customWidth="1"/>
    <col min="19" max="19" width="18.25" style="1" bestFit="1" customWidth="1"/>
    <col min="20" max="20" width="3.125" style="1" customWidth="1"/>
    <col min="21" max="16384" width="11" style="1"/>
  </cols>
  <sheetData>
    <row r="1" spans="1:41" ht="45" customHeight="1" x14ac:dyDescent="0.25">
      <c r="A1" s="2"/>
      <c r="B1" s="3" t="s">
        <v>0</v>
      </c>
      <c r="C1" s="4"/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5"/>
      <c r="P1" s="5"/>
      <c r="Q1" s="5"/>
      <c r="R1" s="5"/>
      <c r="S1" s="5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</row>
    <row r="2" spans="1:41" s="9" customFormat="1" ht="34.5" customHeight="1" x14ac:dyDescent="0.25">
      <c r="A2" s="6"/>
      <c r="B2" s="7" t="s">
        <v>1</v>
      </c>
      <c r="C2" s="7"/>
      <c r="D2" s="7"/>
      <c r="E2" s="7"/>
      <c r="F2" s="7"/>
      <c r="G2" s="8"/>
      <c r="H2" s="71" t="s">
        <v>2</v>
      </c>
      <c r="I2" s="71"/>
      <c r="J2" s="71"/>
      <c r="K2" s="72" t="s">
        <v>3</v>
      </c>
      <c r="L2" s="72"/>
      <c r="M2" s="72"/>
      <c r="N2" s="73" t="s">
        <v>4</v>
      </c>
      <c r="O2" s="73"/>
      <c r="P2" s="73"/>
      <c r="Q2" s="74" t="s">
        <v>5</v>
      </c>
      <c r="R2" s="74"/>
      <c r="S2" s="74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  <c r="AF2" s="6"/>
      <c r="AG2" s="6"/>
      <c r="AH2" s="6"/>
      <c r="AI2" s="6"/>
      <c r="AJ2" s="6"/>
      <c r="AK2" s="6"/>
      <c r="AL2" s="6"/>
      <c r="AM2" s="6"/>
      <c r="AN2" s="6"/>
      <c r="AO2" s="6"/>
    </row>
    <row r="3" spans="1:41" s="9" customFormat="1" ht="34.5" customHeight="1" x14ac:dyDescent="0.25">
      <c r="A3" s="6"/>
      <c r="B3" s="10" t="s">
        <v>6</v>
      </c>
      <c r="C3" s="10" t="s">
        <v>7</v>
      </c>
      <c r="D3" s="10" t="s">
        <v>8</v>
      </c>
      <c r="E3" s="11" t="s">
        <v>9</v>
      </c>
      <c r="F3" s="11" t="s">
        <v>10</v>
      </c>
      <c r="G3" s="12" t="s">
        <v>11</v>
      </c>
      <c r="H3" s="13" t="s">
        <v>12</v>
      </c>
      <c r="I3" s="14" t="s">
        <v>13</v>
      </c>
      <c r="J3" s="14" t="s">
        <v>14</v>
      </c>
      <c r="K3" s="11" t="s">
        <v>15</v>
      </c>
      <c r="L3" s="11" t="s">
        <v>16</v>
      </c>
      <c r="M3" s="11" t="s">
        <v>17</v>
      </c>
      <c r="N3" s="11" t="s">
        <v>18</v>
      </c>
      <c r="O3" s="11" t="s">
        <v>19</v>
      </c>
      <c r="P3" s="15" t="s">
        <v>20</v>
      </c>
      <c r="Q3" s="16" t="s">
        <v>21</v>
      </c>
      <c r="R3" s="17" t="s">
        <v>22</v>
      </c>
      <c r="S3" s="18" t="s">
        <v>23</v>
      </c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6"/>
      <c r="AH3" s="6"/>
      <c r="AI3" s="6"/>
      <c r="AJ3" s="6"/>
      <c r="AK3" s="6"/>
      <c r="AL3" s="6"/>
      <c r="AM3" s="6"/>
      <c r="AN3" s="6"/>
      <c r="AO3" s="6"/>
    </row>
    <row r="4" spans="1:41" s="9" customFormat="1" ht="30" customHeight="1" x14ac:dyDescent="0.25">
      <c r="A4" s="6"/>
      <c r="B4" s="19" t="s">
        <v>108</v>
      </c>
      <c r="C4" s="19"/>
      <c r="D4" s="19"/>
      <c r="E4" s="20"/>
      <c r="F4" s="20"/>
      <c r="G4" s="21"/>
      <c r="H4" s="22"/>
      <c r="I4" s="23"/>
      <c r="J4" s="23"/>
      <c r="K4" s="23"/>
      <c r="L4" s="23"/>
      <c r="M4" s="23"/>
      <c r="N4" s="23"/>
      <c r="O4" s="23"/>
      <c r="P4" s="24"/>
      <c r="Q4" s="25"/>
      <c r="R4" s="26"/>
      <c r="S4" s="26"/>
      <c r="T4" s="6"/>
      <c r="U4" s="6"/>
      <c r="V4" s="6"/>
      <c r="W4" s="6"/>
      <c r="X4" s="6"/>
      <c r="Y4" s="6"/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/>
      <c r="AO4" s="6"/>
    </row>
    <row r="5" spans="1:41" s="9" customFormat="1" ht="27" x14ac:dyDescent="0.25">
      <c r="A5" s="6"/>
      <c r="B5" s="27" t="s">
        <v>109</v>
      </c>
      <c r="C5" s="27" t="s">
        <v>113</v>
      </c>
      <c r="D5" s="28" t="s">
        <v>24</v>
      </c>
      <c r="E5" s="29">
        <v>46253</v>
      </c>
      <c r="F5" s="29"/>
      <c r="G5" s="30">
        <v>46341</v>
      </c>
      <c r="H5" s="31">
        <v>500</v>
      </c>
      <c r="I5" s="32">
        <v>60000</v>
      </c>
      <c r="J5" s="33">
        <f t="shared" ref="J5:J7" si="0">H5*I5</f>
        <v>30000000</v>
      </c>
      <c r="K5" s="34">
        <v>1</v>
      </c>
      <c r="L5" s="93">
        <f>$D$58/5</f>
        <v>3800000</v>
      </c>
      <c r="M5" s="33">
        <f t="shared" ref="M5:M7" si="1">K5*L5</f>
        <v>3800000</v>
      </c>
      <c r="N5" s="35"/>
      <c r="O5" s="35">
        <f>$D$60/2</f>
        <v>500000</v>
      </c>
      <c r="P5" s="36">
        <f>H5*$D$55</f>
        <v>1500000</v>
      </c>
      <c r="Q5" s="37">
        <v>35800000</v>
      </c>
      <c r="R5" s="38">
        <f t="shared" ref="R5:R7" si="2">J5+M5+N5+O5+P5</f>
        <v>35800000</v>
      </c>
      <c r="S5" s="39">
        <f t="shared" ref="S5:S8" si="3">R5-Q5</f>
        <v>0</v>
      </c>
      <c r="T5" s="6"/>
      <c r="U5" s="6"/>
      <c r="V5" s="6"/>
      <c r="W5" s="6"/>
      <c r="X5" s="6"/>
      <c r="Y5" s="6"/>
      <c r="Z5" s="6"/>
      <c r="AA5" s="6"/>
      <c r="AB5" s="6"/>
      <c r="AC5" s="6"/>
      <c r="AD5" s="6"/>
      <c r="AE5" s="6"/>
      <c r="AF5" s="6"/>
      <c r="AG5" s="6"/>
      <c r="AH5" s="6"/>
      <c r="AI5" s="6"/>
      <c r="AJ5" s="6"/>
      <c r="AK5" s="6"/>
      <c r="AL5" s="6"/>
      <c r="AM5" s="6"/>
      <c r="AN5" s="6"/>
      <c r="AO5" s="6"/>
    </row>
    <row r="6" spans="1:41" s="9" customFormat="1" ht="27" x14ac:dyDescent="0.25">
      <c r="A6" s="6"/>
      <c r="B6" s="27" t="s">
        <v>110</v>
      </c>
      <c r="C6" s="27" t="s">
        <v>113</v>
      </c>
      <c r="D6" s="28" t="s">
        <v>24</v>
      </c>
      <c r="E6" s="29">
        <v>46253</v>
      </c>
      <c r="F6" s="29"/>
      <c r="G6" s="30">
        <v>46341</v>
      </c>
      <c r="H6" s="31">
        <v>500</v>
      </c>
      <c r="I6" s="32">
        <v>96000</v>
      </c>
      <c r="J6" s="33">
        <f t="shared" si="0"/>
        <v>48000000</v>
      </c>
      <c r="K6" s="34">
        <v>1</v>
      </c>
      <c r="L6" s="93">
        <f>$D$58/5</f>
        <v>3800000</v>
      </c>
      <c r="M6" s="33">
        <f t="shared" si="1"/>
        <v>3800000</v>
      </c>
      <c r="N6" s="35"/>
      <c r="O6" s="35">
        <f>$D$60/2</f>
        <v>500000</v>
      </c>
      <c r="P6" s="36">
        <f>H6*$D$55</f>
        <v>1500000</v>
      </c>
      <c r="Q6" s="37">
        <v>53800000</v>
      </c>
      <c r="R6" s="38">
        <f t="shared" si="2"/>
        <v>53800000</v>
      </c>
      <c r="S6" s="39">
        <f t="shared" si="3"/>
        <v>0</v>
      </c>
      <c r="T6" s="6"/>
      <c r="U6" s="6"/>
      <c r="V6" s="6"/>
      <c r="W6" s="6"/>
      <c r="X6" s="6"/>
      <c r="Y6" s="6"/>
      <c r="Z6" s="6"/>
      <c r="AA6" s="6"/>
      <c r="AB6" s="6"/>
      <c r="AC6" s="6"/>
      <c r="AD6" s="6"/>
      <c r="AE6" s="6"/>
      <c r="AF6" s="6"/>
      <c r="AG6" s="6"/>
      <c r="AH6" s="6"/>
      <c r="AI6" s="6"/>
      <c r="AJ6" s="6"/>
      <c r="AK6" s="6"/>
      <c r="AL6" s="6"/>
      <c r="AM6" s="6"/>
      <c r="AN6" s="6"/>
      <c r="AO6" s="6"/>
    </row>
    <row r="7" spans="1:41" s="9" customFormat="1" ht="27" x14ac:dyDescent="0.25">
      <c r="A7" s="6"/>
      <c r="B7" s="27" t="s">
        <v>111</v>
      </c>
      <c r="C7" s="27" t="s">
        <v>114</v>
      </c>
      <c r="D7" s="28" t="s">
        <v>24</v>
      </c>
      <c r="E7" s="29">
        <v>46253</v>
      </c>
      <c r="F7" s="29"/>
      <c r="G7" s="30">
        <v>46341</v>
      </c>
      <c r="H7" s="31">
        <v>500</v>
      </c>
      <c r="I7" s="32">
        <v>54000</v>
      </c>
      <c r="J7" s="33">
        <f t="shared" si="0"/>
        <v>27000000</v>
      </c>
      <c r="K7" s="34"/>
      <c r="L7" s="93"/>
      <c r="M7" s="33">
        <f t="shared" si="1"/>
        <v>0</v>
      </c>
      <c r="N7" s="35"/>
      <c r="O7" s="35"/>
      <c r="P7" s="36">
        <f>H7*$D$55</f>
        <v>1500000</v>
      </c>
      <c r="Q7" s="37">
        <v>28500000</v>
      </c>
      <c r="R7" s="38">
        <f t="shared" si="2"/>
        <v>28500000</v>
      </c>
      <c r="S7" s="39">
        <f t="shared" si="3"/>
        <v>0</v>
      </c>
      <c r="T7" s="6"/>
      <c r="U7" s="6"/>
      <c r="V7" s="6"/>
      <c r="W7" s="6"/>
      <c r="X7" s="6"/>
      <c r="Y7" s="6"/>
      <c r="Z7" s="6"/>
      <c r="AA7" s="6"/>
      <c r="AB7" s="6"/>
      <c r="AC7" s="6"/>
      <c r="AD7" s="6"/>
      <c r="AE7" s="6"/>
      <c r="AF7" s="6"/>
      <c r="AG7" s="6"/>
      <c r="AH7" s="6"/>
      <c r="AI7" s="6"/>
      <c r="AJ7" s="6"/>
      <c r="AK7" s="6"/>
      <c r="AL7" s="6"/>
      <c r="AM7" s="6"/>
      <c r="AN7" s="6"/>
      <c r="AO7" s="6"/>
    </row>
    <row r="8" spans="1:41" s="9" customFormat="1" ht="30" customHeight="1" x14ac:dyDescent="0.25">
      <c r="A8" s="6"/>
      <c r="B8" s="40" t="s">
        <v>25</v>
      </c>
      <c r="C8" s="40"/>
      <c r="D8" s="41"/>
      <c r="E8" s="42"/>
      <c r="F8" s="42"/>
      <c r="G8" s="43"/>
      <c r="H8" s="44"/>
      <c r="I8" s="45"/>
      <c r="J8" s="46">
        <f>SUM(J5:J7)</f>
        <v>105000000</v>
      </c>
      <c r="K8" s="46"/>
      <c r="L8" s="46"/>
      <c r="M8" s="46">
        <f>SUM(M5:M7)</f>
        <v>7600000</v>
      </c>
      <c r="N8" s="46">
        <f>SUM(N5:N7)</f>
        <v>0</v>
      </c>
      <c r="O8" s="46">
        <f>SUM(O5:O7)</f>
        <v>1000000</v>
      </c>
      <c r="P8" s="47">
        <f>SUM(P5:P7)</f>
        <v>4500000</v>
      </c>
      <c r="Q8" s="48">
        <f>SUM(Q5:Q7)</f>
        <v>118100000</v>
      </c>
      <c r="R8" s="49">
        <f>SUM(J8:P8)</f>
        <v>118100000</v>
      </c>
      <c r="S8" s="49">
        <f t="shared" si="3"/>
        <v>0</v>
      </c>
      <c r="T8" s="6"/>
      <c r="U8" s="6"/>
      <c r="V8" s="6"/>
      <c r="W8" s="6"/>
      <c r="X8" s="6"/>
      <c r="Y8" s="6"/>
      <c r="Z8" s="6"/>
      <c r="AA8" s="6"/>
      <c r="AB8" s="6"/>
      <c r="AC8" s="6"/>
      <c r="AD8" s="6"/>
      <c r="AE8" s="6"/>
      <c r="AF8" s="6"/>
      <c r="AG8" s="6"/>
      <c r="AH8" s="6"/>
      <c r="AI8" s="6"/>
      <c r="AJ8" s="6"/>
      <c r="AK8" s="6"/>
      <c r="AL8" s="6"/>
      <c r="AM8" s="6"/>
      <c r="AN8" s="6"/>
      <c r="AO8" s="6"/>
    </row>
    <row r="9" spans="1:41" s="9" customFormat="1" ht="10.5" customHeight="1" x14ac:dyDescent="0.25">
      <c r="A9" s="6"/>
      <c r="B9" s="50"/>
      <c r="C9" s="50"/>
      <c r="D9" s="50"/>
      <c r="E9" s="50"/>
      <c r="F9" s="50"/>
      <c r="G9" s="50"/>
      <c r="H9" s="51"/>
      <c r="I9" s="52"/>
      <c r="J9" s="52"/>
      <c r="K9" s="51"/>
      <c r="L9" s="52"/>
      <c r="M9" s="52"/>
      <c r="N9" s="51"/>
      <c r="O9" s="51"/>
      <c r="P9" s="52"/>
      <c r="Q9" s="53"/>
      <c r="R9" s="52"/>
      <c r="S9" s="54"/>
      <c r="T9" s="6"/>
      <c r="U9" s="6"/>
      <c r="V9" s="6"/>
      <c r="W9" s="6"/>
      <c r="X9" s="6"/>
      <c r="Y9" s="6"/>
      <c r="Z9" s="6"/>
      <c r="AA9" s="6"/>
      <c r="AB9" s="6"/>
      <c r="AC9" s="6"/>
      <c r="AD9" s="6"/>
      <c r="AE9" s="6"/>
      <c r="AF9" s="6"/>
      <c r="AG9" s="6"/>
      <c r="AH9" s="6"/>
      <c r="AI9" s="6"/>
      <c r="AJ9" s="6"/>
      <c r="AK9" s="6"/>
      <c r="AL9" s="6"/>
      <c r="AM9" s="6"/>
      <c r="AN9" s="6"/>
      <c r="AO9" s="6"/>
    </row>
    <row r="10" spans="1:41" ht="34.5" customHeight="1" x14ac:dyDescent="0.25">
      <c r="A10" s="6"/>
      <c r="B10" s="7" t="s">
        <v>1</v>
      </c>
      <c r="C10" s="7"/>
      <c r="D10" s="7"/>
      <c r="E10" s="7"/>
      <c r="F10" s="7"/>
      <c r="G10" s="8"/>
      <c r="H10" s="71" t="s">
        <v>2</v>
      </c>
      <c r="I10" s="71"/>
      <c r="J10" s="71"/>
      <c r="K10" s="72" t="s">
        <v>3</v>
      </c>
      <c r="L10" s="72"/>
      <c r="M10" s="72"/>
      <c r="N10" s="73" t="s">
        <v>4</v>
      </c>
      <c r="O10" s="73"/>
      <c r="P10" s="73"/>
      <c r="Q10" s="74" t="s">
        <v>5</v>
      </c>
      <c r="R10" s="74"/>
      <c r="S10" s="74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  <c r="AJ10" s="2"/>
      <c r="AK10" s="2"/>
      <c r="AL10" s="2"/>
      <c r="AM10" s="2"/>
      <c r="AN10" s="2"/>
      <c r="AO10" s="2"/>
    </row>
    <row r="11" spans="1:41" ht="34.5" customHeight="1" x14ac:dyDescent="0.25">
      <c r="A11" s="6"/>
      <c r="B11" s="10" t="s">
        <v>6</v>
      </c>
      <c r="C11" s="10" t="s">
        <v>7</v>
      </c>
      <c r="D11" s="10" t="s">
        <v>8</v>
      </c>
      <c r="E11" s="11" t="s">
        <v>9</v>
      </c>
      <c r="F11" s="11" t="s">
        <v>10</v>
      </c>
      <c r="G11" s="12" t="s">
        <v>11</v>
      </c>
      <c r="H11" s="13" t="s">
        <v>12</v>
      </c>
      <c r="I11" s="14" t="s">
        <v>13</v>
      </c>
      <c r="J11" s="14" t="s">
        <v>14</v>
      </c>
      <c r="K11" s="11" t="s">
        <v>15</v>
      </c>
      <c r="L11" s="11" t="s">
        <v>16</v>
      </c>
      <c r="M11" s="11" t="s">
        <v>17</v>
      </c>
      <c r="N11" s="11" t="s">
        <v>18</v>
      </c>
      <c r="O11" s="11" t="s">
        <v>19</v>
      </c>
      <c r="P11" s="15" t="s">
        <v>20</v>
      </c>
      <c r="Q11" s="16" t="s">
        <v>21</v>
      </c>
      <c r="R11" s="17" t="s">
        <v>22</v>
      </c>
      <c r="S11" s="18" t="s">
        <v>23</v>
      </c>
      <c r="T11" s="2"/>
      <c r="U11" s="2"/>
      <c r="V11" s="2"/>
      <c r="W11" s="2"/>
      <c r="X11" s="2"/>
      <c r="Y11" s="2"/>
      <c r="Z11" s="2"/>
      <c r="AA11" s="2"/>
      <c r="AB11" s="2"/>
      <c r="AC11" s="2"/>
      <c r="AD11" s="2"/>
      <c r="AE11" s="2"/>
      <c r="AF11" s="2"/>
      <c r="AG11" s="2"/>
      <c r="AH11" s="2"/>
      <c r="AI11" s="2"/>
      <c r="AJ11" s="2"/>
      <c r="AK11" s="2"/>
      <c r="AL11" s="2"/>
      <c r="AM11" s="2"/>
      <c r="AN11" s="2"/>
      <c r="AO11" s="2"/>
    </row>
    <row r="12" spans="1:41" ht="30" customHeight="1" x14ac:dyDescent="0.25">
      <c r="A12" s="6"/>
      <c r="B12" s="19" t="s">
        <v>38</v>
      </c>
      <c r="C12" s="19"/>
      <c r="D12" s="19"/>
      <c r="E12" s="20"/>
      <c r="F12" s="20"/>
      <c r="G12" s="21"/>
      <c r="H12" s="22"/>
      <c r="I12" s="23"/>
      <c r="J12" s="23"/>
      <c r="K12" s="23"/>
      <c r="L12" s="23"/>
      <c r="M12" s="23"/>
      <c r="N12" s="23"/>
      <c r="O12" s="23"/>
      <c r="P12" s="24"/>
      <c r="Q12" s="25"/>
      <c r="R12" s="26"/>
      <c r="S12" s="26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  <c r="AE12" s="2"/>
      <c r="AF12" s="2"/>
      <c r="AG12" s="2"/>
      <c r="AH12" s="2"/>
      <c r="AI12" s="2"/>
      <c r="AJ12" s="2"/>
      <c r="AK12" s="2"/>
      <c r="AL12" s="2"/>
      <c r="AM12" s="2"/>
      <c r="AN12" s="2"/>
      <c r="AO12" s="2"/>
    </row>
    <row r="13" spans="1:41" ht="27" x14ac:dyDescent="0.25">
      <c r="A13" s="6"/>
      <c r="B13" s="27" t="s">
        <v>39</v>
      </c>
      <c r="C13" s="27" t="s">
        <v>115</v>
      </c>
      <c r="D13" s="28" t="s">
        <v>24</v>
      </c>
      <c r="E13" s="29">
        <v>46253</v>
      </c>
      <c r="F13" s="29"/>
      <c r="G13" s="30">
        <v>46262</v>
      </c>
      <c r="H13" s="31">
        <v>80</v>
      </c>
      <c r="I13" s="32">
        <v>50000</v>
      </c>
      <c r="J13" s="33">
        <f t="shared" ref="J13:J19" si="4">H13*I13</f>
        <v>4000000</v>
      </c>
      <c r="K13" s="34"/>
      <c r="L13" s="93"/>
      <c r="M13" s="33">
        <f t="shared" ref="M13:M19" si="5">K13*L13</f>
        <v>0</v>
      </c>
      <c r="N13" s="35"/>
      <c r="O13" s="35"/>
      <c r="P13" s="36">
        <f>H13*$D$55</f>
        <v>240000</v>
      </c>
      <c r="Q13" s="37">
        <v>8240000</v>
      </c>
      <c r="R13" s="38">
        <f t="shared" ref="R13:R19" si="6">J13+M13+N13+O13+P13</f>
        <v>4240000</v>
      </c>
      <c r="S13" s="39">
        <f t="shared" ref="S13:S20" si="7">R13-Q13</f>
        <v>-4000000</v>
      </c>
      <c r="T13" s="2"/>
      <c r="U13" s="2"/>
    </row>
    <row r="14" spans="1:41" ht="27" x14ac:dyDescent="0.25">
      <c r="A14" s="6"/>
      <c r="B14" s="27" t="s">
        <v>40</v>
      </c>
      <c r="C14" s="27" t="s">
        <v>116</v>
      </c>
      <c r="D14" s="28" t="s">
        <v>24</v>
      </c>
      <c r="E14" s="29">
        <v>46263</v>
      </c>
      <c r="F14" s="29"/>
      <c r="G14" s="30">
        <v>46274</v>
      </c>
      <c r="H14" s="31">
        <v>160</v>
      </c>
      <c r="I14" s="32">
        <v>50000</v>
      </c>
      <c r="J14" s="33">
        <f t="shared" si="4"/>
        <v>8000000</v>
      </c>
      <c r="K14" s="34"/>
      <c r="L14" s="93"/>
      <c r="M14" s="33">
        <f t="shared" si="5"/>
        <v>0</v>
      </c>
      <c r="N14" s="35"/>
      <c r="O14" s="35"/>
      <c r="P14" s="36">
        <f>H14*$D$55</f>
        <v>480000</v>
      </c>
      <c r="Q14" s="37">
        <v>8480000</v>
      </c>
      <c r="R14" s="38">
        <f t="shared" si="6"/>
        <v>8480000</v>
      </c>
      <c r="S14" s="39">
        <f t="shared" si="7"/>
        <v>0</v>
      </c>
      <c r="T14" s="2"/>
      <c r="U14" s="2"/>
    </row>
    <row r="15" spans="1:41" ht="40.5" x14ac:dyDescent="0.25">
      <c r="A15" s="6"/>
      <c r="B15" s="27" t="s">
        <v>41</v>
      </c>
      <c r="C15" s="27" t="s">
        <v>117</v>
      </c>
      <c r="D15" s="28" t="s">
        <v>24</v>
      </c>
      <c r="E15" s="29">
        <v>46266</v>
      </c>
      <c r="F15" s="29"/>
      <c r="G15" s="30">
        <v>46279</v>
      </c>
      <c r="H15" s="31">
        <v>200</v>
      </c>
      <c r="I15" s="32">
        <v>50000</v>
      </c>
      <c r="J15" s="33">
        <f t="shared" si="4"/>
        <v>10000000</v>
      </c>
      <c r="K15" s="34">
        <v>1</v>
      </c>
      <c r="L15" s="93">
        <f>$D$58/5</f>
        <v>3800000</v>
      </c>
      <c r="M15" s="33">
        <f t="shared" si="5"/>
        <v>3800000</v>
      </c>
      <c r="N15" s="35"/>
      <c r="O15" s="35">
        <f>$D$62</f>
        <v>1500000</v>
      </c>
      <c r="P15" s="36">
        <f>H15*$D$55</f>
        <v>600000</v>
      </c>
      <c r="Q15" s="37">
        <v>15900000</v>
      </c>
      <c r="R15" s="38">
        <f t="shared" si="6"/>
        <v>15900000</v>
      </c>
      <c r="S15" s="39">
        <f t="shared" si="7"/>
        <v>0</v>
      </c>
      <c r="T15" s="2"/>
      <c r="U15" s="2"/>
    </row>
    <row r="16" spans="1:41" ht="40.5" x14ac:dyDescent="0.25">
      <c r="A16" s="6"/>
      <c r="B16" s="27" t="s">
        <v>42</v>
      </c>
      <c r="C16" s="27" t="s">
        <v>118</v>
      </c>
      <c r="D16" s="28" t="s">
        <v>24</v>
      </c>
      <c r="E16" s="29">
        <v>46280</v>
      </c>
      <c r="F16" s="29"/>
      <c r="G16" s="30">
        <v>46315</v>
      </c>
      <c r="H16" s="31">
        <v>700</v>
      </c>
      <c r="I16" s="32">
        <v>50000</v>
      </c>
      <c r="J16" s="33">
        <f t="shared" si="4"/>
        <v>35000000</v>
      </c>
      <c r="K16" s="34">
        <v>1</v>
      </c>
      <c r="L16" s="93">
        <f>$D$58/5</f>
        <v>3800000</v>
      </c>
      <c r="M16" s="33">
        <f t="shared" si="5"/>
        <v>3800000</v>
      </c>
      <c r="N16" s="35"/>
      <c r="O16" s="35">
        <f>$D$61/2</f>
        <v>1500000</v>
      </c>
      <c r="P16" s="36">
        <f>H16*$D$55</f>
        <v>2100000</v>
      </c>
      <c r="Q16" s="37">
        <v>42400000</v>
      </c>
      <c r="R16" s="38">
        <f t="shared" si="6"/>
        <v>42400000</v>
      </c>
      <c r="S16" s="39">
        <f t="shared" si="7"/>
        <v>0</v>
      </c>
      <c r="T16" s="2"/>
      <c r="U16" s="2"/>
    </row>
    <row r="17" spans="1:21" ht="40.5" x14ac:dyDescent="0.25">
      <c r="A17" s="6"/>
      <c r="B17" s="27" t="s">
        <v>43</v>
      </c>
      <c r="C17" s="27" t="s">
        <v>119</v>
      </c>
      <c r="D17" s="28" t="s">
        <v>24</v>
      </c>
      <c r="E17" s="29">
        <v>46280</v>
      </c>
      <c r="F17" s="29"/>
      <c r="G17" s="30">
        <v>46305</v>
      </c>
      <c r="H17" s="31">
        <v>400</v>
      </c>
      <c r="I17" s="32">
        <v>50000</v>
      </c>
      <c r="J17" s="33">
        <f t="shared" si="4"/>
        <v>20000000</v>
      </c>
      <c r="K17" s="34">
        <v>1</v>
      </c>
      <c r="L17" s="93">
        <f>$D$58/5</f>
        <v>3800000</v>
      </c>
      <c r="M17" s="33">
        <f t="shared" si="5"/>
        <v>3800000</v>
      </c>
      <c r="N17" s="35"/>
      <c r="O17" s="35">
        <f>$D$61/2+$D$65</f>
        <v>5000000</v>
      </c>
      <c r="P17" s="36">
        <f>H17*$D$55</f>
        <v>1200000</v>
      </c>
      <c r="Q17" s="37">
        <v>30000000</v>
      </c>
      <c r="R17" s="38">
        <f t="shared" si="6"/>
        <v>30000000</v>
      </c>
      <c r="S17" s="39">
        <f t="shared" si="7"/>
        <v>0</v>
      </c>
      <c r="T17" s="2"/>
      <c r="U17" s="2"/>
    </row>
    <row r="18" spans="1:21" ht="40.5" x14ac:dyDescent="0.25">
      <c r="A18" s="6"/>
      <c r="B18" s="27" t="s">
        <v>44</v>
      </c>
      <c r="C18" s="27" t="s">
        <v>120</v>
      </c>
      <c r="D18" s="28" t="s">
        <v>24</v>
      </c>
      <c r="E18" s="29">
        <v>46310</v>
      </c>
      <c r="F18" s="29"/>
      <c r="G18" s="30">
        <v>46320</v>
      </c>
      <c r="H18" s="31">
        <v>160</v>
      </c>
      <c r="I18" s="32">
        <v>50000</v>
      </c>
      <c r="J18" s="33">
        <f t="shared" si="4"/>
        <v>8000000</v>
      </c>
      <c r="K18" s="34"/>
      <c r="L18" s="93"/>
      <c r="M18" s="33">
        <f t="shared" si="5"/>
        <v>0</v>
      </c>
      <c r="N18" s="35"/>
      <c r="O18" s="35">
        <f>$D$66+$D$68</f>
        <v>5300000</v>
      </c>
      <c r="P18" s="36">
        <f>H18*$D$55</f>
        <v>480000</v>
      </c>
      <c r="Q18" s="37">
        <v>13780000</v>
      </c>
      <c r="R18" s="38">
        <f t="shared" si="6"/>
        <v>13780000</v>
      </c>
      <c r="S18" s="39">
        <f t="shared" si="7"/>
        <v>0</v>
      </c>
      <c r="T18" s="2"/>
      <c r="U18" s="2"/>
    </row>
    <row r="19" spans="1:21" ht="40.5" x14ac:dyDescent="0.25">
      <c r="A19" s="6"/>
      <c r="B19" s="27" t="s">
        <v>36</v>
      </c>
      <c r="C19" s="27" t="s">
        <v>121</v>
      </c>
      <c r="D19" s="28" t="s">
        <v>24</v>
      </c>
      <c r="E19" s="29">
        <v>46275</v>
      </c>
      <c r="F19" s="29"/>
      <c r="G19" s="30">
        <v>46285</v>
      </c>
      <c r="H19" s="31">
        <v>120</v>
      </c>
      <c r="I19" s="32">
        <v>50000</v>
      </c>
      <c r="J19" s="33">
        <f t="shared" si="4"/>
        <v>6000000</v>
      </c>
      <c r="K19" s="34"/>
      <c r="L19" s="93"/>
      <c r="M19" s="33">
        <f t="shared" si="5"/>
        <v>0</v>
      </c>
      <c r="N19" s="35"/>
      <c r="O19" s="35">
        <f>$D$67</f>
        <v>2000000</v>
      </c>
      <c r="P19" s="36">
        <f>H19*$D$55</f>
        <v>360000</v>
      </c>
      <c r="Q19" s="37">
        <v>8360000</v>
      </c>
      <c r="R19" s="38">
        <f t="shared" si="6"/>
        <v>8360000</v>
      </c>
      <c r="S19" s="39">
        <f t="shared" si="7"/>
        <v>0</v>
      </c>
      <c r="T19" s="2"/>
      <c r="U19" s="2"/>
    </row>
    <row r="20" spans="1:21" ht="30" customHeight="1" x14ac:dyDescent="0.25">
      <c r="A20" s="6"/>
      <c r="B20" s="40" t="s">
        <v>25</v>
      </c>
      <c r="C20" s="40"/>
      <c r="D20" s="41"/>
      <c r="E20" s="42"/>
      <c r="F20" s="42"/>
      <c r="G20" s="43"/>
      <c r="H20" s="44"/>
      <c r="I20" s="45"/>
      <c r="J20" s="46">
        <f>SUM(J13:J19)</f>
        <v>91000000</v>
      </c>
      <c r="K20" s="46"/>
      <c r="L20" s="46"/>
      <c r="M20" s="46">
        <f>SUM(M13:M19)</f>
        <v>11400000</v>
      </c>
      <c r="N20" s="46">
        <f>SUM(N13:N19)</f>
        <v>0</v>
      </c>
      <c r="O20" s="46">
        <f>SUM(O13:O19)</f>
        <v>15300000</v>
      </c>
      <c r="P20" s="47">
        <f>SUM(P13:P19)</f>
        <v>5460000</v>
      </c>
      <c r="Q20" s="48">
        <f>SUM(Q13:Q19)</f>
        <v>127160000</v>
      </c>
      <c r="R20" s="49">
        <f>SUM(J20:P20)</f>
        <v>123160000</v>
      </c>
      <c r="S20" s="49">
        <f t="shared" si="7"/>
        <v>-4000000</v>
      </c>
      <c r="T20" s="2"/>
      <c r="U20" s="2"/>
    </row>
    <row r="21" spans="1:21" ht="10.5" customHeight="1" x14ac:dyDescent="0.25">
      <c r="A21" s="6"/>
      <c r="B21" s="50"/>
      <c r="C21" s="50"/>
      <c r="D21" s="50"/>
      <c r="E21" s="50"/>
      <c r="F21" s="50"/>
      <c r="G21" s="50"/>
      <c r="H21" s="51"/>
      <c r="I21" s="52"/>
      <c r="J21" s="52"/>
      <c r="K21" s="51"/>
      <c r="L21" s="52"/>
      <c r="M21" s="52"/>
      <c r="N21" s="51"/>
      <c r="O21" s="51"/>
      <c r="P21" s="52"/>
      <c r="Q21" s="53"/>
      <c r="R21" s="52"/>
      <c r="S21" s="54"/>
      <c r="T21" s="2"/>
      <c r="U21" s="2"/>
    </row>
    <row r="22" spans="1:21" ht="34.5" customHeight="1" x14ac:dyDescent="0.25">
      <c r="A22" s="6"/>
      <c r="B22" s="7" t="s">
        <v>1</v>
      </c>
      <c r="C22" s="7"/>
      <c r="D22" s="7"/>
      <c r="E22" s="7"/>
      <c r="F22" s="7"/>
      <c r="G22" s="8"/>
      <c r="H22" s="71" t="s">
        <v>2</v>
      </c>
      <c r="I22" s="71"/>
      <c r="J22" s="71"/>
      <c r="K22" s="72" t="s">
        <v>3</v>
      </c>
      <c r="L22" s="72"/>
      <c r="M22" s="72"/>
      <c r="N22" s="73" t="s">
        <v>4</v>
      </c>
      <c r="O22" s="73"/>
      <c r="P22" s="73"/>
      <c r="Q22" s="74" t="s">
        <v>5</v>
      </c>
      <c r="R22" s="74"/>
      <c r="S22" s="74"/>
      <c r="T22" s="2"/>
      <c r="U22" s="2"/>
    </row>
    <row r="23" spans="1:21" ht="34.5" customHeight="1" x14ac:dyDescent="0.25">
      <c r="A23" s="6"/>
      <c r="B23" s="10" t="s">
        <v>6</v>
      </c>
      <c r="C23" s="10" t="s">
        <v>7</v>
      </c>
      <c r="D23" s="10" t="s">
        <v>8</v>
      </c>
      <c r="E23" s="11" t="s">
        <v>9</v>
      </c>
      <c r="F23" s="11" t="s">
        <v>10</v>
      </c>
      <c r="G23" s="12" t="s">
        <v>11</v>
      </c>
      <c r="H23" s="13" t="s">
        <v>12</v>
      </c>
      <c r="I23" s="14" t="s">
        <v>13</v>
      </c>
      <c r="J23" s="14" t="s">
        <v>14</v>
      </c>
      <c r="K23" s="11" t="s">
        <v>15</v>
      </c>
      <c r="L23" s="11" t="s">
        <v>16</v>
      </c>
      <c r="M23" s="11" t="s">
        <v>17</v>
      </c>
      <c r="N23" s="11" t="s">
        <v>18</v>
      </c>
      <c r="O23" s="11" t="s">
        <v>19</v>
      </c>
      <c r="P23" s="15" t="s">
        <v>20</v>
      </c>
      <c r="Q23" s="16" t="s">
        <v>21</v>
      </c>
      <c r="R23" s="17" t="s">
        <v>22</v>
      </c>
      <c r="S23" s="18" t="s">
        <v>23</v>
      </c>
      <c r="T23" s="2"/>
      <c r="U23" s="2"/>
    </row>
    <row r="24" spans="1:21" ht="30" customHeight="1" x14ac:dyDescent="0.25">
      <c r="A24" s="6"/>
      <c r="B24" s="19" t="s">
        <v>45</v>
      </c>
      <c r="C24" s="19"/>
      <c r="D24" s="19"/>
      <c r="E24" s="20"/>
      <c r="F24" s="20"/>
      <c r="G24" s="21"/>
      <c r="H24" s="22"/>
      <c r="I24" s="23"/>
      <c r="J24" s="23"/>
      <c r="K24" s="23"/>
      <c r="L24" s="23"/>
      <c r="M24" s="23"/>
      <c r="N24" s="23"/>
      <c r="O24" s="23"/>
      <c r="P24" s="24"/>
      <c r="Q24" s="25"/>
      <c r="R24" s="26"/>
      <c r="S24" s="26"/>
      <c r="T24" s="2"/>
      <c r="U24" s="2"/>
    </row>
    <row r="25" spans="1:21" ht="40.5" x14ac:dyDescent="0.25">
      <c r="A25" s="6"/>
      <c r="B25" s="27" t="s">
        <v>46</v>
      </c>
      <c r="C25" s="27" t="s">
        <v>122</v>
      </c>
      <c r="D25" s="28" t="s">
        <v>24</v>
      </c>
      <c r="E25" s="29">
        <v>46321</v>
      </c>
      <c r="F25" s="29"/>
      <c r="G25" s="30">
        <v>46325</v>
      </c>
      <c r="H25" s="31">
        <v>60</v>
      </c>
      <c r="I25" s="32">
        <v>25000</v>
      </c>
      <c r="J25" s="33">
        <f t="shared" ref="J25:J29" si="8">H25*I25</f>
        <v>1500000</v>
      </c>
      <c r="K25" s="34"/>
      <c r="L25" s="93"/>
      <c r="M25" s="33">
        <f t="shared" ref="M25:M29" si="9">K25*L25</f>
        <v>0</v>
      </c>
      <c r="N25" s="35"/>
      <c r="O25" s="35">
        <f>$D$63/2+$D$69</f>
        <v>1500000</v>
      </c>
      <c r="P25" s="36">
        <f>H25*$D$55</f>
        <v>180000</v>
      </c>
      <c r="Q25" s="37">
        <v>3180000</v>
      </c>
      <c r="R25" s="38">
        <f t="shared" ref="R25:R29" si="10">J25+M25+N25+O25+P25</f>
        <v>3180000</v>
      </c>
      <c r="S25" s="39">
        <f t="shared" ref="S25:S30" si="11">R25-Q25</f>
        <v>0</v>
      </c>
      <c r="T25" s="2"/>
      <c r="U25" s="2"/>
    </row>
    <row r="26" spans="1:21" ht="27" x14ac:dyDescent="0.25">
      <c r="A26" s="6"/>
      <c r="B26" s="27" t="s">
        <v>47</v>
      </c>
      <c r="C26" s="27" t="s">
        <v>123</v>
      </c>
      <c r="D26" s="28" t="s">
        <v>24</v>
      </c>
      <c r="E26" s="29">
        <v>46323</v>
      </c>
      <c r="F26" s="29"/>
      <c r="G26" s="30">
        <v>46327</v>
      </c>
      <c r="H26" s="31">
        <v>40</v>
      </c>
      <c r="I26" s="32">
        <v>25000</v>
      </c>
      <c r="J26" s="33">
        <f t="shared" si="8"/>
        <v>1000000</v>
      </c>
      <c r="K26" s="34"/>
      <c r="L26" s="93"/>
      <c r="M26" s="33">
        <f t="shared" si="9"/>
        <v>0</v>
      </c>
      <c r="N26" s="35"/>
      <c r="O26" s="35">
        <f>$D$63/2</f>
        <v>500000</v>
      </c>
      <c r="P26" s="36">
        <f>H26*$D$55</f>
        <v>120000</v>
      </c>
      <c r="Q26" s="37">
        <v>1620000</v>
      </c>
      <c r="R26" s="38">
        <f t="shared" si="10"/>
        <v>1620000</v>
      </c>
      <c r="S26" s="39">
        <f t="shared" si="11"/>
        <v>0</v>
      </c>
      <c r="T26" s="2"/>
      <c r="U26" s="2"/>
    </row>
    <row r="27" spans="1:21" ht="27" x14ac:dyDescent="0.25">
      <c r="A27" s="6"/>
      <c r="B27" s="27" t="s">
        <v>48</v>
      </c>
      <c r="C27" s="27" t="s">
        <v>124</v>
      </c>
      <c r="D27" s="28" t="s">
        <v>24</v>
      </c>
      <c r="E27" s="29">
        <v>46324</v>
      </c>
      <c r="F27" s="29"/>
      <c r="G27" s="30">
        <v>46329</v>
      </c>
      <c r="H27" s="31">
        <v>60</v>
      </c>
      <c r="I27" s="32">
        <v>25000</v>
      </c>
      <c r="J27" s="33">
        <f t="shared" si="8"/>
        <v>1500000</v>
      </c>
      <c r="K27" s="34"/>
      <c r="L27" s="93"/>
      <c r="M27" s="33">
        <f t="shared" si="9"/>
        <v>0</v>
      </c>
      <c r="N27" s="35"/>
      <c r="O27" s="35">
        <f>$D$64</f>
        <v>1500000</v>
      </c>
      <c r="P27" s="36">
        <f>H27*$D$55</f>
        <v>180000</v>
      </c>
      <c r="Q27" s="37">
        <v>3180000</v>
      </c>
      <c r="R27" s="38">
        <f t="shared" si="10"/>
        <v>3180000</v>
      </c>
      <c r="S27" s="39">
        <f t="shared" si="11"/>
        <v>0</v>
      </c>
      <c r="T27" s="2"/>
      <c r="U27" s="2"/>
    </row>
    <row r="28" spans="1:21" ht="27" x14ac:dyDescent="0.25">
      <c r="A28" s="6"/>
      <c r="B28" s="27" t="s">
        <v>49</v>
      </c>
      <c r="C28" s="27" t="s">
        <v>125</v>
      </c>
      <c r="D28" s="28" t="s">
        <v>24</v>
      </c>
      <c r="E28" s="29">
        <v>46328</v>
      </c>
      <c r="F28" s="29"/>
      <c r="G28" s="30">
        <v>46331</v>
      </c>
      <c r="H28" s="31">
        <v>40</v>
      </c>
      <c r="I28" s="32">
        <v>25000</v>
      </c>
      <c r="J28" s="33">
        <f t="shared" si="8"/>
        <v>1000000</v>
      </c>
      <c r="K28" s="34">
        <v>3</v>
      </c>
      <c r="L28" s="93">
        <f>$D$59/3</f>
        <v>1800000</v>
      </c>
      <c r="M28" s="33">
        <f t="shared" si="9"/>
        <v>5400000</v>
      </c>
      <c r="N28" s="35"/>
      <c r="O28" s="35"/>
      <c r="P28" s="36">
        <f>H28*$D$55</f>
        <v>120000</v>
      </c>
      <c r="Q28" s="37">
        <v>6520000</v>
      </c>
      <c r="R28" s="38">
        <f t="shared" si="10"/>
        <v>6520000</v>
      </c>
      <c r="S28" s="39">
        <f t="shared" si="11"/>
        <v>0</v>
      </c>
      <c r="T28" s="2"/>
      <c r="U28" s="2"/>
    </row>
    <row r="29" spans="1:21" x14ac:dyDescent="0.25">
      <c r="A29" s="6"/>
      <c r="B29" s="27" t="s">
        <v>50</v>
      </c>
      <c r="C29" s="27" t="s">
        <v>126</v>
      </c>
      <c r="D29" s="28" t="s">
        <v>24</v>
      </c>
      <c r="E29" s="29">
        <v>46329</v>
      </c>
      <c r="F29" s="29"/>
      <c r="G29" s="30">
        <v>46334</v>
      </c>
      <c r="H29" s="31">
        <v>80</v>
      </c>
      <c r="I29" s="32">
        <v>25000</v>
      </c>
      <c r="J29" s="33">
        <f t="shared" si="8"/>
        <v>2000000</v>
      </c>
      <c r="K29" s="34"/>
      <c r="L29" s="93"/>
      <c r="M29" s="33">
        <f t="shared" si="9"/>
        <v>0</v>
      </c>
      <c r="N29" s="35"/>
      <c r="O29" s="35"/>
      <c r="P29" s="36">
        <f>H29*$D$55</f>
        <v>240000</v>
      </c>
      <c r="Q29" s="37">
        <v>2240000</v>
      </c>
      <c r="R29" s="38">
        <f t="shared" si="10"/>
        <v>2240000</v>
      </c>
      <c r="S29" s="39">
        <f t="shared" si="11"/>
        <v>0</v>
      </c>
      <c r="T29" s="2"/>
      <c r="U29" s="2"/>
    </row>
    <row r="30" spans="1:21" ht="30" customHeight="1" x14ac:dyDescent="0.25">
      <c r="A30" s="6"/>
      <c r="B30" s="40" t="s">
        <v>25</v>
      </c>
      <c r="C30" s="40"/>
      <c r="D30" s="41"/>
      <c r="E30" s="42"/>
      <c r="F30" s="42"/>
      <c r="G30" s="43"/>
      <c r="H30" s="44"/>
      <c r="I30" s="45"/>
      <c r="J30" s="46">
        <f>SUM(J25:J29)</f>
        <v>7000000</v>
      </c>
      <c r="K30" s="46"/>
      <c r="L30" s="46"/>
      <c r="M30" s="46">
        <f>SUM(M25:M29)</f>
        <v>5400000</v>
      </c>
      <c r="N30" s="46">
        <f>SUM(N25:N29)</f>
        <v>0</v>
      </c>
      <c r="O30" s="46">
        <f>SUM(O25:O29)</f>
        <v>3500000</v>
      </c>
      <c r="P30" s="47">
        <f>SUM(P25:P29)</f>
        <v>840000</v>
      </c>
      <c r="Q30" s="48">
        <f>SUM(Q25:Q29)</f>
        <v>16740000</v>
      </c>
      <c r="R30" s="49">
        <f>SUM(J30:P30)</f>
        <v>16740000</v>
      </c>
      <c r="S30" s="49">
        <f t="shared" si="11"/>
        <v>0</v>
      </c>
      <c r="T30" s="2"/>
      <c r="U30" s="2"/>
    </row>
    <row r="31" spans="1:21" ht="10.5" customHeight="1" x14ac:dyDescent="0.25">
      <c r="A31" s="6"/>
      <c r="B31" s="50"/>
      <c r="C31" s="50"/>
      <c r="D31" s="50"/>
      <c r="E31" s="50"/>
      <c r="F31" s="50"/>
      <c r="G31" s="50"/>
      <c r="H31" s="51"/>
      <c r="I31" s="52"/>
      <c r="J31" s="52"/>
      <c r="K31" s="51"/>
      <c r="L31" s="52"/>
      <c r="M31" s="52"/>
      <c r="N31" s="51"/>
      <c r="O31" s="51"/>
      <c r="P31" s="52"/>
      <c r="Q31" s="53"/>
      <c r="R31" s="52"/>
      <c r="S31" s="54"/>
      <c r="T31" s="2"/>
      <c r="U31" s="2"/>
    </row>
    <row r="32" spans="1:21" ht="34.5" customHeight="1" x14ac:dyDescent="0.25">
      <c r="A32" s="6"/>
      <c r="B32" s="7" t="s">
        <v>1</v>
      </c>
      <c r="C32" s="7"/>
      <c r="D32" s="7"/>
      <c r="E32" s="7"/>
      <c r="F32" s="7"/>
      <c r="G32" s="8"/>
      <c r="H32" s="71" t="s">
        <v>2</v>
      </c>
      <c r="I32" s="71"/>
      <c r="J32" s="71"/>
      <c r="K32" s="72" t="s">
        <v>3</v>
      </c>
      <c r="L32" s="72"/>
      <c r="M32" s="72"/>
      <c r="N32" s="73" t="s">
        <v>4</v>
      </c>
      <c r="O32" s="73"/>
      <c r="P32" s="73"/>
      <c r="Q32" s="74" t="s">
        <v>5</v>
      </c>
      <c r="R32" s="74"/>
      <c r="S32" s="74"/>
      <c r="T32" s="2"/>
      <c r="U32" s="2"/>
    </row>
    <row r="33" spans="1:21" ht="34.5" customHeight="1" x14ac:dyDescent="0.25">
      <c r="A33" s="6"/>
      <c r="B33" s="10" t="s">
        <v>6</v>
      </c>
      <c r="C33" s="10" t="s">
        <v>7</v>
      </c>
      <c r="D33" s="10" t="s">
        <v>8</v>
      </c>
      <c r="E33" s="11" t="s">
        <v>9</v>
      </c>
      <c r="F33" s="11" t="s">
        <v>10</v>
      </c>
      <c r="G33" s="12" t="s">
        <v>11</v>
      </c>
      <c r="H33" s="13" t="s">
        <v>12</v>
      </c>
      <c r="I33" s="14" t="s">
        <v>13</v>
      </c>
      <c r="J33" s="14" t="s">
        <v>14</v>
      </c>
      <c r="K33" s="11" t="s">
        <v>15</v>
      </c>
      <c r="L33" s="11" t="s">
        <v>16</v>
      </c>
      <c r="M33" s="11" t="s">
        <v>17</v>
      </c>
      <c r="N33" s="11" t="s">
        <v>18</v>
      </c>
      <c r="O33" s="11" t="s">
        <v>19</v>
      </c>
      <c r="P33" s="15" t="s">
        <v>20</v>
      </c>
      <c r="Q33" s="16" t="s">
        <v>21</v>
      </c>
      <c r="R33" s="17" t="s">
        <v>22</v>
      </c>
      <c r="S33" s="18" t="s">
        <v>23</v>
      </c>
      <c r="T33" s="2"/>
      <c r="U33" s="2"/>
    </row>
    <row r="34" spans="1:21" ht="30" customHeight="1" x14ac:dyDescent="0.25">
      <c r="A34" s="6"/>
      <c r="B34" s="19" t="s">
        <v>51</v>
      </c>
      <c r="C34" s="19"/>
      <c r="D34" s="19"/>
      <c r="E34" s="20"/>
      <c r="F34" s="20"/>
      <c r="G34" s="21"/>
      <c r="H34" s="22"/>
      <c r="I34" s="23"/>
      <c r="J34" s="23"/>
      <c r="K34" s="23"/>
      <c r="L34" s="23"/>
      <c r="M34" s="23"/>
      <c r="N34" s="23"/>
      <c r="O34" s="23"/>
      <c r="P34" s="24"/>
      <c r="Q34" s="25"/>
      <c r="R34" s="26"/>
      <c r="S34" s="26"/>
      <c r="T34" s="2"/>
      <c r="U34" s="2"/>
    </row>
    <row r="35" spans="1:21" ht="27" x14ac:dyDescent="0.25">
      <c r="A35" s="6"/>
      <c r="B35" s="27" t="s">
        <v>52</v>
      </c>
      <c r="C35" s="27" t="s">
        <v>127</v>
      </c>
      <c r="D35" s="28" t="s">
        <v>24</v>
      </c>
      <c r="E35" s="29">
        <v>46335</v>
      </c>
      <c r="F35" s="29"/>
      <c r="G35" s="30">
        <v>46336</v>
      </c>
      <c r="H35" s="31"/>
      <c r="I35" s="32"/>
      <c r="J35" s="33">
        <f t="shared" ref="J35:J38" si="12">H35*I35</f>
        <v>0</v>
      </c>
      <c r="K35" s="34"/>
      <c r="L35" s="32"/>
      <c r="M35" s="33">
        <f t="shared" ref="M35:M38" si="13">K35*L35</f>
        <v>0</v>
      </c>
      <c r="N35" s="35"/>
      <c r="O35" s="35"/>
      <c r="P35" s="36">
        <v>500000</v>
      </c>
      <c r="Q35" s="37">
        <v>500000</v>
      </c>
      <c r="R35" s="38">
        <f t="shared" ref="R35:R38" si="14">J35+M35+N35+O35+P35</f>
        <v>500000</v>
      </c>
      <c r="S35" s="39">
        <f t="shared" ref="S35:S39" si="15">R35-Q35</f>
        <v>0</v>
      </c>
      <c r="T35" s="2"/>
      <c r="U35" s="2"/>
    </row>
    <row r="36" spans="1:21" ht="27" x14ac:dyDescent="0.25">
      <c r="A36" s="6"/>
      <c r="B36" s="27" t="s">
        <v>53</v>
      </c>
      <c r="C36" s="27" t="s">
        <v>127</v>
      </c>
      <c r="D36" s="28" t="s">
        <v>24</v>
      </c>
      <c r="E36" s="29">
        <v>46335</v>
      </c>
      <c r="F36" s="29"/>
      <c r="G36" s="30">
        <v>46336</v>
      </c>
      <c r="H36" s="31"/>
      <c r="I36" s="32"/>
      <c r="J36" s="33">
        <f t="shared" si="12"/>
        <v>0</v>
      </c>
      <c r="K36" s="34"/>
      <c r="L36" s="32"/>
      <c r="M36" s="33">
        <f t="shared" si="13"/>
        <v>0</v>
      </c>
      <c r="N36" s="35"/>
      <c r="O36" s="35"/>
      <c r="P36" s="36">
        <v>500000</v>
      </c>
      <c r="Q36" s="37">
        <v>500000</v>
      </c>
      <c r="R36" s="38">
        <f t="shared" si="14"/>
        <v>500000</v>
      </c>
      <c r="S36" s="39">
        <f t="shared" si="15"/>
        <v>0</v>
      </c>
      <c r="T36" s="2"/>
      <c r="U36" s="2"/>
    </row>
    <row r="37" spans="1:21" ht="27" x14ac:dyDescent="0.25">
      <c r="A37" s="6"/>
      <c r="B37" s="27" t="s">
        <v>54</v>
      </c>
      <c r="C37" s="27" t="s">
        <v>128</v>
      </c>
      <c r="D37" s="28" t="s">
        <v>24</v>
      </c>
      <c r="E37" s="29">
        <v>46336</v>
      </c>
      <c r="F37" s="29"/>
      <c r="G37" s="30">
        <v>46339</v>
      </c>
      <c r="H37" s="31"/>
      <c r="I37" s="32"/>
      <c r="J37" s="33">
        <f t="shared" si="12"/>
        <v>0</v>
      </c>
      <c r="K37" s="34"/>
      <c r="L37" s="32"/>
      <c r="M37" s="33">
        <f t="shared" si="13"/>
        <v>0</v>
      </c>
      <c r="N37" s="35"/>
      <c r="O37" s="35"/>
      <c r="P37" s="36">
        <v>1000000</v>
      </c>
      <c r="Q37" s="37">
        <v>1000000</v>
      </c>
      <c r="R37" s="38">
        <f t="shared" si="14"/>
        <v>1000000</v>
      </c>
      <c r="S37" s="39">
        <f t="shared" si="15"/>
        <v>0</v>
      </c>
      <c r="T37" s="2"/>
      <c r="U37" s="2"/>
    </row>
    <row r="38" spans="1:21" ht="27" x14ac:dyDescent="0.25">
      <c r="A38" s="6"/>
      <c r="B38" s="27" t="s">
        <v>55</v>
      </c>
      <c r="C38" s="27" t="s">
        <v>129</v>
      </c>
      <c r="D38" s="28" t="s">
        <v>24</v>
      </c>
      <c r="E38" s="29">
        <v>46335</v>
      </c>
      <c r="F38" s="29"/>
      <c r="G38" s="30">
        <v>46338</v>
      </c>
      <c r="H38" s="31"/>
      <c r="I38" s="32"/>
      <c r="J38" s="33">
        <f t="shared" si="12"/>
        <v>0</v>
      </c>
      <c r="K38" s="34"/>
      <c r="L38" s="32"/>
      <c r="M38" s="33">
        <f t="shared" si="13"/>
        <v>0</v>
      </c>
      <c r="N38" s="35"/>
      <c r="O38" s="35"/>
      <c r="P38" s="36">
        <v>500000</v>
      </c>
      <c r="Q38" s="37">
        <v>500000</v>
      </c>
      <c r="R38" s="38">
        <f t="shared" si="14"/>
        <v>500000</v>
      </c>
      <c r="S38" s="39">
        <f t="shared" si="15"/>
        <v>0</v>
      </c>
      <c r="T38" s="2"/>
      <c r="U38" s="2"/>
    </row>
    <row r="39" spans="1:21" ht="30" customHeight="1" x14ac:dyDescent="0.25">
      <c r="A39" s="6"/>
      <c r="B39" s="40" t="s">
        <v>25</v>
      </c>
      <c r="C39" s="40"/>
      <c r="D39" s="41"/>
      <c r="E39" s="42"/>
      <c r="F39" s="42"/>
      <c r="G39" s="43"/>
      <c r="H39" s="44"/>
      <c r="I39" s="45"/>
      <c r="J39" s="46">
        <f>SUM(J35:J38)</f>
        <v>0</v>
      </c>
      <c r="K39" s="46"/>
      <c r="L39" s="46"/>
      <c r="M39" s="46">
        <f>SUM(M35:M38)</f>
        <v>0</v>
      </c>
      <c r="N39" s="46">
        <f>SUM(N35:N38)</f>
        <v>0</v>
      </c>
      <c r="O39" s="46">
        <f>SUM(O35:O38)</f>
        <v>0</v>
      </c>
      <c r="P39" s="47">
        <f>SUM(P35:P38)</f>
        <v>2500000</v>
      </c>
      <c r="Q39" s="48">
        <f>SUM(Q35:Q38)</f>
        <v>2500000</v>
      </c>
      <c r="R39" s="49">
        <f>SUM(J39:P39)</f>
        <v>2500000</v>
      </c>
      <c r="S39" s="49">
        <f t="shared" si="15"/>
        <v>0</v>
      </c>
      <c r="T39" s="2"/>
      <c r="U39" s="2"/>
    </row>
    <row r="40" spans="1:21" ht="10.5" customHeight="1" x14ac:dyDescent="0.25">
      <c r="A40" s="6"/>
      <c r="B40" s="50"/>
      <c r="C40" s="50"/>
      <c r="D40" s="50"/>
      <c r="E40" s="50"/>
      <c r="F40" s="50"/>
      <c r="G40" s="50"/>
      <c r="H40" s="51"/>
      <c r="I40" s="52"/>
      <c r="J40" s="52"/>
      <c r="K40" s="51"/>
      <c r="L40" s="52"/>
      <c r="M40" s="52"/>
      <c r="N40" s="51"/>
      <c r="O40" s="51"/>
      <c r="P40" s="52"/>
      <c r="Q40" s="53"/>
      <c r="R40" s="52"/>
      <c r="S40" s="54"/>
      <c r="T40" s="2"/>
      <c r="U40" s="2"/>
    </row>
    <row r="41" spans="1:21" ht="13.5" customHeight="1" x14ac:dyDescent="0.25">
      <c r="A41" s="2"/>
      <c r="B41" s="75" t="s">
        <v>112</v>
      </c>
      <c r="C41" s="94" t="s">
        <v>130</v>
      </c>
      <c r="D41" s="76"/>
      <c r="E41" s="76"/>
      <c r="F41" s="76"/>
      <c r="G41" s="76"/>
      <c r="H41" s="76"/>
      <c r="I41" s="76"/>
      <c r="J41" s="77">
        <f>J8+J20+J30+J39</f>
        <v>203000000</v>
      </c>
      <c r="K41" s="76"/>
      <c r="L41" s="76"/>
      <c r="M41" s="77">
        <f>M8+M20+M30+M39</f>
        <v>24400000</v>
      </c>
      <c r="N41" s="77">
        <f>N8+N20+N30+N39</f>
        <v>0</v>
      </c>
      <c r="O41" s="77">
        <f>O8+O20+O30+O39</f>
        <v>19800000</v>
      </c>
      <c r="P41" s="77">
        <f>P8+P20+P30+P39</f>
        <v>13300000</v>
      </c>
      <c r="Q41" s="77">
        <f>Q8+Q20+Q30+Q39</f>
        <v>264500000</v>
      </c>
      <c r="R41" s="77">
        <f>R8+R20+R30+R39</f>
        <v>260500000</v>
      </c>
      <c r="S41" s="77">
        <f>R41-Q41</f>
        <v>-4000000</v>
      </c>
      <c r="T41" s="2"/>
      <c r="U41" s="2"/>
    </row>
    <row r="42" spans="1:21" ht="8.1" customHeight="1" x14ac:dyDescent="0.25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</row>
    <row r="43" spans="1:21" ht="15.95" customHeight="1" x14ac:dyDescent="0.25">
      <c r="A43" s="2"/>
      <c r="B43" s="89" t="s">
        <v>79</v>
      </c>
      <c r="C43" s="78"/>
      <c r="D43" s="79"/>
      <c r="E43" s="79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</row>
    <row r="44" spans="1:21" ht="15.95" customHeight="1" x14ac:dyDescent="0.25">
      <c r="A44" s="2"/>
      <c r="B44" s="80" t="s">
        <v>80</v>
      </c>
      <c r="C44" s="80" t="s">
        <v>81</v>
      </c>
      <c r="D44" s="81" t="s">
        <v>82</v>
      </c>
      <c r="E44" s="80" t="s">
        <v>83</v>
      </c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</row>
    <row r="45" spans="1:21" ht="15.95" customHeight="1" x14ac:dyDescent="0.25">
      <c r="A45" s="2"/>
      <c r="B45" s="90" t="s">
        <v>84</v>
      </c>
      <c r="C45" s="82"/>
      <c r="D45" s="82"/>
      <c r="E45" s="8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</row>
    <row r="46" spans="1:21" ht="15.95" customHeight="1" x14ac:dyDescent="0.25">
      <c r="A46" s="2"/>
      <c r="B46" s="83" t="s">
        <v>56</v>
      </c>
      <c r="C46" s="83" t="s">
        <v>57</v>
      </c>
      <c r="D46" s="84">
        <v>2400000</v>
      </c>
      <c r="E46" s="85" t="s">
        <v>85</v>
      </c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</row>
    <row r="47" spans="1:21" ht="15.95" customHeight="1" x14ac:dyDescent="0.25">
      <c r="A47" s="2"/>
      <c r="B47" s="83" t="s">
        <v>58</v>
      </c>
      <c r="C47" s="83" t="s">
        <v>57</v>
      </c>
      <c r="D47" s="84">
        <v>1500000</v>
      </c>
      <c r="E47" s="85" t="s">
        <v>85</v>
      </c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</row>
    <row r="48" spans="1:21" ht="15.95" customHeight="1" x14ac:dyDescent="0.25">
      <c r="A48" s="2"/>
      <c r="B48" s="83" t="s">
        <v>59</v>
      </c>
      <c r="C48" s="83" t="s">
        <v>57</v>
      </c>
      <c r="D48" s="84">
        <v>3000000</v>
      </c>
      <c r="E48" s="85" t="s">
        <v>85</v>
      </c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</row>
    <row r="49" spans="1:21" ht="15.95" customHeight="1" x14ac:dyDescent="0.25">
      <c r="A49" s="2"/>
      <c r="B49" s="83" t="s">
        <v>60</v>
      </c>
      <c r="C49" s="83" t="s">
        <v>57</v>
      </c>
      <c r="D49" s="84">
        <v>500000</v>
      </c>
      <c r="E49" s="85" t="s">
        <v>85</v>
      </c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</row>
    <row r="50" spans="1:21" ht="15.95" customHeight="1" x14ac:dyDescent="0.25">
      <c r="A50" s="2"/>
      <c r="B50" s="83" t="s">
        <v>61</v>
      </c>
      <c r="C50" s="83" t="s">
        <v>62</v>
      </c>
      <c r="D50" s="84">
        <v>1000000</v>
      </c>
      <c r="E50" s="85" t="s">
        <v>85</v>
      </c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</row>
    <row r="51" spans="1:21" ht="15.95" customHeight="1" x14ac:dyDescent="0.25">
      <c r="A51" s="2"/>
      <c r="B51" s="83" t="s">
        <v>63</v>
      </c>
      <c r="C51" s="83" t="s">
        <v>64</v>
      </c>
      <c r="D51" s="84">
        <v>2000000</v>
      </c>
      <c r="E51" s="85" t="s">
        <v>85</v>
      </c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</row>
    <row r="52" spans="1:21" ht="15.95" customHeight="1" x14ac:dyDescent="0.25">
      <c r="A52" s="2"/>
      <c r="B52" s="83" t="s">
        <v>26</v>
      </c>
      <c r="C52" s="83" t="s">
        <v>27</v>
      </c>
      <c r="D52" s="84">
        <v>400000</v>
      </c>
      <c r="E52" s="85" t="s">
        <v>85</v>
      </c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</row>
    <row r="53" spans="1:21" ht="15.95" customHeight="1" x14ac:dyDescent="0.25">
      <c r="A53" s="2"/>
      <c r="B53" s="91" t="s">
        <v>86</v>
      </c>
      <c r="C53" s="82"/>
      <c r="D53" s="86">
        <f>SUM(D46:D52)</f>
        <v>10800000</v>
      </c>
      <c r="E53" s="8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</row>
    <row r="54" spans="1:21" ht="15.95" customHeight="1" x14ac:dyDescent="0.25">
      <c r="A54" s="2"/>
      <c r="B54" s="83" t="s">
        <v>87</v>
      </c>
      <c r="C54" s="83"/>
      <c r="D54" s="87">
        <f>SUM(H5:H7)+SUM(H13:H19)+SUM(H25:H29)</f>
        <v>3600</v>
      </c>
      <c r="E54" s="85" t="s">
        <v>88</v>
      </c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</row>
    <row r="55" spans="1:21" ht="15.95" customHeight="1" x14ac:dyDescent="0.25">
      <c r="A55" s="2"/>
      <c r="B55" s="92" t="s">
        <v>89</v>
      </c>
      <c r="C55" s="83"/>
      <c r="D55" s="88">
        <f>D53/D54</f>
        <v>3000</v>
      </c>
      <c r="E55" s="85" t="s">
        <v>90</v>
      </c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</row>
    <row r="56" spans="1:21" ht="15.95" customHeight="1" x14ac:dyDescent="0.25">
      <c r="A56" s="2"/>
      <c r="B56" s="83"/>
      <c r="C56" s="83"/>
      <c r="D56" s="85"/>
      <c r="E56" s="85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</row>
    <row r="57" spans="1:21" ht="15.95" customHeight="1" x14ac:dyDescent="0.25">
      <c r="A57" s="2"/>
      <c r="B57" s="90" t="s">
        <v>91</v>
      </c>
      <c r="C57" s="82"/>
      <c r="D57" s="82"/>
      <c r="E57" s="8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</row>
    <row r="58" spans="1:21" ht="15.95" customHeight="1" x14ac:dyDescent="0.25">
      <c r="A58" s="2"/>
      <c r="B58" s="85" t="s">
        <v>92</v>
      </c>
      <c r="C58" s="85" t="s">
        <v>93</v>
      </c>
      <c r="D58" s="84">
        <v>19000000</v>
      </c>
      <c r="E58" s="85" t="s">
        <v>94</v>
      </c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</row>
    <row r="59" spans="1:21" ht="15.95" customHeight="1" x14ac:dyDescent="0.25">
      <c r="A59" s="2"/>
      <c r="B59" s="85" t="s">
        <v>95</v>
      </c>
      <c r="C59" s="85" t="s">
        <v>96</v>
      </c>
      <c r="D59" s="84">
        <v>5400000</v>
      </c>
      <c r="E59" s="85" t="s">
        <v>49</v>
      </c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</row>
    <row r="60" spans="1:21" ht="15.95" customHeight="1" x14ac:dyDescent="0.25">
      <c r="A60" s="2"/>
      <c r="B60" s="85" t="s">
        <v>32</v>
      </c>
      <c r="C60" s="85" t="s">
        <v>29</v>
      </c>
      <c r="D60" s="84">
        <v>1000000</v>
      </c>
      <c r="E60" s="85" t="s">
        <v>97</v>
      </c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</row>
    <row r="61" spans="1:21" ht="15.95" customHeight="1" x14ac:dyDescent="0.25">
      <c r="A61" s="2"/>
      <c r="B61" s="85" t="s">
        <v>28</v>
      </c>
      <c r="C61" s="85" t="s">
        <v>29</v>
      </c>
      <c r="D61" s="84">
        <v>3000000</v>
      </c>
      <c r="E61" s="85" t="s">
        <v>98</v>
      </c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</row>
    <row r="62" spans="1:21" ht="15.95" customHeight="1" x14ac:dyDescent="0.25">
      <c r="A62" s="2"/>
      <c r="B62" s="85" t="s">
        <v>30</v>
      </c>
      <c r="C62" s="85" t="s">
        <v>31</v>
      </c>
      <c r="D62" s="84">
        <v>1500000</v>
      </c>
      <c r="E62" s="85" t="s">
        <v>41</v>
      </c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</row>
    <row r="63" spans="1:21" ht="15.95" customHeight="1" x14ac:dyDescent="0.25">
      <c r="A63" s="2"/>
      <c r="B63" s="85" t="s">
        <v>33</v>
      </c>
      <c r="C63" s="85" t="s">
        <v>29</v>
      </c>
      <c r="D63" s="84">
        <v>1000000</v>
      </c>
      <c r="E63" s="85" t="s">
        <v>99</v>
      </c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</row>
    <row r="64" spans="1:21" ht="15.95" customHeight="1" x14ac:dyDescent="0.25">
      <c r="A64" s="2"/>
      <c r="B64" s="85" t="s">
        <v>34</v>
      </c>
      <c r="C64" s="85" t="s">
        <v>29</v>
      </c>
      <c r="D64" s="84">
        <v>1500000</v>
      </c>
      <c r="E64" s="85" t="s">
        <v>48</v>
      </c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</row>
    <row r="65" spans="1:21" ht="15.95" customHeight="1" x14ac:dyDescent="0.25">
      <c r="A65" s="2"/>
      <c r="B65" s="85" t="s">
        <v>100</v>
      </c>
      <c r="C65" s="85" t="s">
        <v>35</v>
      </c>
      <c r="D65" s="84">
        <v>3500000</v>
      </c>
      <c r="E65" s="85" t="s">
        <v>43</v>
      </c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</row>
    <row r="66" spans="1:21" ht="15.95" customHeight="1" x14ac:dyDescent="0.25">
      <c r="A66" s="2"/>
      <c r="B66" s="85" t="s">
        <v>101</v>
      </c>
      <c r="C66" s="85" t="s">
        <v>35</v>
      </c>
      <c r="D66" s="84">
        <v>1300000</v>
      </c>
      <c r="E66" s="85" t="s">
        <v>44</v>
      </c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</row>
    <row r="67" spans="1:21" ht="15.95" customHeight="1" x14ac:dyDescent="0.25">
      <c r="A67" s="2"/>
      <c r="B67" s="85" t="s">
        <v>102</v>
      </c>
      <c r="C67" s="85" t="s">
        <v>35</v>
      </c>
      <c r="D67" s="84">
        <v>2000000</v>
      </c>
      <c r="E67" s="85" t="s">
        <v>36</v>
      </c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</row>
    <row r="68" spans="1:21" ht="15.95" customHeight="1" x14ac:dyDescent="0.25">
      <c r="A68" s="2"/>
      <c r="B68" s="85" t="s">
        <v>103</v>
      </c>
      <c r="C68" s="85" t="s">
        <v>35</v>
      </c>
      <c r="D68" s="84">
        <v>4000000</v>
      </c>
      <c r="E68" s="85" t="s">
        <v>44</v>
      </c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</row>
    <row r="69" spans="1:21" ht="15.95" customHeight="1" x14ac:dyDescent="0.25">
      <c r="A69" s="2"/>
      <c r="B69" s="85" t="s">
        <v>104</v>
      </c>
      <c r="C69" s="85" t="s">
        <v>37</v>
      </c>
      <c r="D69" s="84">
        <v>1000000</v>
      </c>
      <c r="E69" s="85" t="s">
        <v>46</v>
      </c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</row>
    <row r="70" spans="1:21" ht="15.95" customHeight="1" x14ac:dyDescent="0.25">
      <c r="A70" s="2"/>
      <c r="B70" s="91" t="s">
        <v>105</v>
      </c>
      <c r="C70" s="82"/>
      <c r="D70" s="86">
        <f>SUM(D58:D69)</f>
        <v>44200000</v>
      </c>
      <c r="E70" s="8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</row>
    <row r="71" spans="1:21" ht="15.95" customHeight="1" x14ac:dyDescent="0.25">
      <c r="A71" s="2"/>
      <c r="B71" s="91" t="s">
        <v>106</v>
      </c>
      <c r="C71" s="82"/>
      <c r="D71" s="86">
        <f>D53+D70</f>
        <v>55000000</v>
      </c>
      <c r="E71" s="82" t="s">
        <v>107</v>
      </c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</row>
    <row r="72" spans="1:21" ht="13.5" customHeight="1" x14ac:dyDescent="0.25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</row>
    <row r="73" spans="1:21" ht="13.5" customHeight="1" x14ac:dyDescent="0.25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</row>
    <row r="74" spans="1:21" ht="13.5" customHeight="1" x14ac:dyDescent="0.25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</row>
    <row r="75" spans="1:21" ht="13.5" customHeight="1" x14ac:dyDescent="0.25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</row>
    <row r="76" spans="1:21" ht="13.5" customHeight="1" x14ac:dyDescent="0.25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</row>
    <row r="77" spans="1:21" ht="13.5" customHeight="1" x14ac:dyDescent="0.25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</row>
    <row r="78" spans="1:21" ht="13.5" customHeight="1" x14ac:dyDescent="0.25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</row>
    <row r="79" spans="1:21" ht="13.5" customHeight="1" x14ac:dyDescent="0.25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</row>
    <row r="80" spans="1:21" ht="13.5" customHeight="1" x14ac:dyDescent="0.25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</row>
    <row r="81" spans="1:21" ht="13.5" customHeight="1" x14ac:dyDescent="0.25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</row>
    <row r="82" spans="1:21" ht="13.5" customHeight="1" x14ac:dyDescent="0.25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</row>
    <row r="83" spans="1:21" ht="13.5" customHeight="1" x14ac:dyDescent="0.25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</row>
    <row r="84" spans="1:21" ht="13.5" customHeight="1" x14ac:dyDescent="0.25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</row>
    <row r="85" spans="1:21" ht="13.5" customHeight="1" x14ac:dyDescent="0.25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</row>
    <row r="86" spans="1:21" ht="13.5" customHeight="1" x14ac:dyDescent="0.25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</row>
    <row r="87" spans="1:21" ht="13.5" customHeight="1" x14ac:dyDescent="0.25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</row>
    <row r="88" spans="1:21" ht="13.5" customHeight="1" x14ac:dyDescent="0.25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</row>
    <row r="89" spans="1:21" ht="13.5" customHeight="1" x14ac:dyDescent="0.25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</row>
    <row r="90" spans="1:21" ht="13.5" customHeight="1" x14ac:dyDescent="0.25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</row>
    <row r="91" spans="1:21" ht="13.5" customHeight="1" x14ac:dyDescent="0.25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</row>
    <row r="92" spans="1:21" ht="13.5" customHeight="1" x14ac:dyDescent="0.25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</row>
    <row r="93" spans="1:21" ht="13.5" customHeight="1" x14ac:dyDescent="0.25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</row>
    <row r="94" spans="1:21" ht="13.5" customHeight="1" x14ac:dyDescent="0.25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</row>
    <row r="95" spans="1:21" ht="13.5" customHeight="1" x14ac:dyDescent="0.25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</row>
    <row r="96" spans="1:21" ht="13.5" customHeight="1" x14ac:dyDescent="0.25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</row>
    <row r="97" spans="1:21" ht="13.5" customHeight="1" x14ac:dyDescent="0.25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</row>
    <row r="98" spans="1:21" ht="13.5" customHeight="1" x14ac:dyDescent="0.25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</row>
    <row r="99" spans="1:21" ht="13.5" customHeight="1" x14ac:dyDescent="0.25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</row>
    <row r="100" spans="1:21" ht="13.5" customHeight="1" x14ac:dyDescent="0.25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</row>
    <row r="101" spans="1:21" ht="13.5" customHeight="1" x14ac:dyDescent="0.25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</row>
    <row r="102" spans="1:21" ht="13.5" customHeight="1" x14ac:dyDescent="0.25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</row>
    <row r="103" spans="1:21" ht="13.5" customHeight="1" x14ac:dyDescent="0.25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</row>
    <row r="104" spans="1:21" ht="13.5" customHeight="1" x14ac:dyDescent="0.25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</row>
    <row r="105" spans="1:21" ht="13.5" customHeight="1" x14ac:dyDescent="0.25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</row>
    <row r="106" spans="1:21" ht="13.5" customHeight="1" x14ac:dyDescent="0.25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</row>
    <row r="107" spans="1:21" ht="13.5" customHeight="1" x14ac:dyDescent="0.25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</row>
    <row r="108" spans="1:21" ht="13.5" customHeight="1" x14ac:dyDescent="0.25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</row>
    <row r="109" spans="1:21" ht="13.5" customHeight="1" x14ac:dyDescent="0.25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</row>
    <row r="110" spans="1:21" ht="13.5" customHeight="1" x14ac:dyDescent="0.25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</row>
    <row r="111" spans="1:21" ht="13.5" customHeight="1" x14ac:dyDescent="0.25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</row>
    <row r="112" spans="1:21" ht="13.5" customHeight="1" x14ac:dyDescent="0.25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</row>
    <row r="113" spans="1:21" ht="13.5" customHeight="1" x14ac:dyDescent="0.25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</row>
    <row r="114" spans="1:21" ht="13.5" customHeight="1" x14ac:dyDescent="0.25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</row>
    <row r="115" spans="1:21" ht="13.5" customHeight="1" x14ac:dyDescent="0.25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</row>
    <row r="116" spans="1:21" ht="13.5" customHeight="1" x14ac:dyDescent="0.25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</row>
    <row r="117" spans="1:21" ht="13.5" customHeight="1" x14ac:dyDescent="0.25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</row>
    <row r="118" spans="1:21" ht="13.5" customHeight="1" x14ac:dyDescent="0.25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</row>
    <row r="119" spans="1:21" ht="13.5" customHeight="1" x14ac:dyDescent="0.25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</row>
    <row r="120" spans="1:21" ht="13.5" customHeight="1" x14ac:dyDescent="0.25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</row>
    <row r="121" spans="1:21" ht="13.5" customHeight="1" x14ac:dyDescent="0.25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</row>
    <row r="122" spans="1:21" ht="13.5" customHeight="1" x14ac:dyDescent="0.25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</row>
    <row r="123" spans="1:21" ht="13.5" customHeight="1" x14ac:dyDescent="0.25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</row>
    <row r="124" spans="1:21" ht="13.5" customHeight="1" x14ac:dyDescent="0.25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</row>
    <row r="125" spans="1:21" ht="13.5" customHeight="1" x14ac:dyDescent="0.25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</row>
    <row r="126" spans="1:21" ht="13.5" customHeight="1" x14ac:dyDescent="0.25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</row>
    <row r="127" spans="1:21" ht="13.5" customHeight="1" x14ac:dyDescent="0.25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</row>
    <row r="128" spans="1:21" ht="13.5" customHeight="1" x14ac:dyDescent="0.25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</row>
    <row r="129" spans="1:21" ht="13.5" customHeight="1" x14ac:dyDescent="0.25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</row>
    <row r="130" spans="1:21" ht="13.5" customHeight="1" x14ac:dyDescent="0.25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</row>
    <row r="131" spans="1:21" ht="13.5" customHeight="1" x14ac:dyDescent="0.25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</row>
    <row r="132" spans="1:21" ht="13.5" customHeight="1" x14ac:dyDescent="0.25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</row>
    <row r="133" spans="1:21" ht="13.5" customHeight="1" x14ac:dyDescent="0.25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</row>
    <row r="134" spans="1:21" ht="13.5" customHeight="1" x14ac:dyDescent="0.25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</row>
    <row r="135" spans="1:21" ht="13.5" customHeight="1" x14ac:dyDescent="0.25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</row>
    <row r="136" spans="1:21" ht="13.5" customHeight="1" x14ac:dyDescent="0.25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</row>
    <row r="137" spans="1:21" ht="13.5" customHeight="1" x14ac:dyDescent="0.25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</row>
    <row r="138" spans="1:21" ht="13.5" customHeight="1" x14ac:dyDescent="0.25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</row>
    <row r="139" spans="1:21" ht="13.5" customHeight="1" x14ac:dyDescent="0.25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</row>
    <row r="140" spans="1:21" ht="13.5" customHeight="1" x14ac:dyDescent="0.25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</row>
    <row r="141" spans="1:21" ht="13.5" customHeight="1" x14ac:dyDescent="0.25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</row>
    <row r="142" spans="1:21" ht="13.5" customHeight="1" x14ac:dyDescent="0.25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</row>
    <row r="143" spans="1:21" ht="13.5" customHeight="1" x14ac:dyDescent="0.25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</row>
    <row r="144" spans="1:21" ht="13.5" customHeight="1" x14ac:dyDescent="0.25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</row>
    <row r="145" spans="1:21" ht="13.5" customHeight="1" x14ac:dyDescent="0.25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</row>
    <row r="146" spans="1:21" ht="13.5" customHeight="1" x14ac:dyDescent="0.25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</row>
    <row r="147" spans="1:21" ht="13.5" customHeight="1" x14ac:dyDescent="0.25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</row>
    <row r="148" spans="1:21" ht="13.5" customHeight="1" x14ac:dyDescent="0.25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</row>
    <row r="149" spans="1:21" ht="13.5" customHeight="1" x14ac:dyDescent="0.25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</row>
    <row r="150" spans="1:21" ht="13.5" customHeight="1" x14ac:dyDescent="0.25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</row>
    <row r="151" spans="1:21" ht="13.5" customHeight="1" x14ac:dyDescent="0.25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</row>
    <row r="152" spans="1:21" ht="13.5" customHeight="1" x14ac:dyDescent="0.25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</row>
    <row r="153" spans="1:21" ht="13.5" customHeight="1" x14ac:dyDescent="0.25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</row>
    <row r="154" spans="1:21" ht="13.5" customHeight="1" x14ac:dyDescent="0.25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</row>
    <row r="155" spans="1:21" ht="13.5" customHeight="1" x14ac:dyDescent="0.25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</row>
    <row r="156" spans="1:21" ht="13.5" customHeight="1" x14ac:dyDescent="0.25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</row>
    <row r="157" spans="1:21" ht="13.5" customHeight="1" x14ac:dyDescent="0.25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</row>
    <row r="158" spans="1:21" ht="13.5" customHeight="1" x14ac:dyDescent="0.25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</row>
    <row r="159" spans="1:21" ht="13.5" customHeight="1" x14ac:dyDescent="0.25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</row>
    <row r="160" spans="1:21" ht="13.5" customHeight="1" x14ac:dyDescent="0.25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</row>
    <row r="161" spans="1:21" ht="13.5" customHeight="1" x14ac:dyDescent="0.25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</row>
    <row r="162" spans="1:21" ht="13.5" customHeight="1" x14ac:dyDescent="0.25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</row>
    <row r="163" spans="1:21" ht="13.5" customHeight="1" x14ac:dyDescent="0.25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</row>
    <row r="164" spans="1:21" ht="13.5" customHeight="1" x14ac:dyDescent="0.25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</row>
    <row r="165" spans="1:21" ht="13.5" customHeight="1" x14ac:dyDescent="0.25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</row>
    <row r="166" spans="1:21" ht="13.5" customHeight="1" x14ac:dyDescent="0.25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</row>
    <row r="167" spans="1:21" ht="13.5" customHeight="1" x14ac:dyDescent="0.25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</row>
    <row r="168" spans="1:21" ht="13.5" customHeight="1" x14ac:dyDescent="0.25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</row>
    <row r="169" spans="1:21" ht="13.5" customHeight="1" x14ac:dyDescent="0.25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</row>
    <row r="170" spans="1:21" ht="13.5" customHeight="1" x14ac:dyDescent="0.25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</row>
    <row r="171" spans="1:21" ht="13.5" customHeight="1" x14ac:dyDescent="0.25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</row>
    <row r="172" spans="1:21" ht="13.5" customHeight="1" x14ac:dyDescent="0.25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</row>
    <row r="173" spans="1:21" ht="13.5" customHeight="1" x14ac:dyDescent="0.25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</row>
    <row r="174" spans="1:21" ht="13.5" customHeight="1" x14ac:dyDescent="0.25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</row>
    <row r="175" spans="1:21" ht="13.5" customHeight="1" x14ac:dyDescent="0.25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</row>
    <row r="176" spans="1:21" ht="13.5" customHeight="1" x14ac:dyDescent="0.25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</row>
    <row r="177" spans="1:21" ht="13.5" customHeight="1" x14ac:dyDescent="0.25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</row>
    <row r="178" spans="1:21" ht="13.5" customHeight="1" x14ac:dyDescent="0.25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</row>
    <row r="179" spans="1:21" ht="13.5" customHeight="1" x14ac:dyDescent="0.25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</row>
    <row r="180" spans="1:21" ht="13.5" customHeight="1" x14ac:dyDescent="0.25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</row>
    <row r="181" spans="1:21" ht="13.5" customHeight="1" x14ac:dyDescent="0.25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</row>
    <row r="182" spans="1:21" ht="13.5" customHeight="1" x14ac:dyDescent="0.25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</row>
    <row r="183" spans="1:21" ht="13.5" customHeight="1" x14ac:dyDescent="0.25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</row>
    <row r="184" spans="1:21" ht="13.5" customHeight="1" x14ac:dyDescent="0.25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</row>
    <row r="185" spans="1:21" ht="13.5" customHeight="1" x14ac:dyDescent="0.25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</row>
    <row r="186" spans="1:21" ht="13.5" customHeight="1" x14ac:dyDescent="0.25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</row>
    <row r="187" spans="1:21" ht="13.5" customHeight="1" x14ac:dyDescent="0.25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</row>
    <row r="188" spans="1:21" ht="13.5" customHeight="1" x14ac:dyDescent="0.25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</row>
    <row r="189" spans="1:21" ht="13.5" customHeight="1" x14ac:dyDescent="0.25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</row>
    <row r="190" spans="1:21" ht="13.5" customHeight="1" x14ac:dyDescent="0.25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</row>
    <row r="191" spans="1:21" ht="13.5" customHeight="1" x14ac:dyDescent="0.25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</row>
    <row r="192" spans="1:21" ht="13.5" customHeight="1" x14ac:dyDescent="0.25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</row>
    <row r="193" spans="1:21" ht="13.5" customHeight="1" x14ac:dyDescent="0.25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</row>
    <row r="194" spans="1:21" ht="13.5" customHeight="1" x14ac:dyDescent="0.25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</row>
    <row r="195" spans="1:21" ht="13.5" customHeight="1" x14ac:dyDescent="0.25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</row>
    <row r="196" spans="1:21" ht="13.5" customHeight="1" x14ac:dyDescent="0.25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</row>
    <row r="197" spans="1:21" ht="13.5" customHeight="1" x14ac:dyDescent="0.25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</row>
    <row r="198" spans="1:21" ht="13.5" customHeight="1" x14ac:dyDescent="0.25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</row>
    <row r="199" spans="1:21" ht="13.5" customHeight="1" x14ac:dyDescent="0.25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</row>
    <row r="200" spans="1:21" ht="13.5" customHeight="1" x14ac:dyDescent="0.25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</row>
    <row r="201" spans="1:21" ht="13.5" customHeight="1" x14ac:dyDescent="0.25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</row>
    <row r="202" spans="1:21" ht="13.5" customHeight="1" x14ac:dyDescent="0.25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</row>
    <row r="203" spans="1:21" ht="13.5" customHeight="1" x14ac:dyDescent="0.25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</row>
    <row r="204" spans="1:21" ht="13.5" customHeight="1" x14ac:dyDescent="0.25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</row>
    <row r="205" spans="1:21" ht="13.5" customHeight="1" x14ac:dyDescent="0.25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</row>
    <row r="206" spans="1:21" ht="13.5" customHeight="1" x14ac:dyDescent="0.25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</row>
    <row r="207" spans="1:21" ht="13.5" customHeight="1" x14ac:dyDescent="0.25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</row>
    <row r="208" spans="1:21" ht="13.5" customHeight="1" x14ac:dyDescent="0.25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</row>
    <row r="209" spans="1:21" ht="13.5" customHeight="1" x14ac:dyDescent="0.25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</row>
    <row r="210" spans="1:21" ht="13.5" customHeight="1" x14ac:dyDescent="0.25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</row>
    <row r="211" spans="1:21" ht="13.5" customHeight="1" x14ac:dyDescent="0.25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</row>
    <row r="212" spans="1:21" ht="13.5" customHeight="1" x14ac:dyDescent="0.25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</row>
    <row r="213" spans="1:21" ht="13.5" customHeight="1" x14ac:dyDescent="0.25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</row>
    <row r="214" spans="1:21" ht="13.5" customHeight="1" x14ac:dyDescent="0.25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</row>
    <row r="215" spans="1:21" ht="13.5" customHeight="1" x14ac:dyDescent="0.25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</row>
    <row r="216" spans="1:21" ht="13.5" customHeight="1" x14ac:dyDescent="0.25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</row>
    <row r="217" spans="1:21" ht="13.5" customHeight="1" x14ac:dyDescent="0.25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</row>
    <row r="218" spans="1:21" ht="13.5" customHeight="1" x14ac:dyDescent="0.25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</row>
    <row r="219" spans="1:21" ht="13.5" customHeight="1" x14ac:dyDescent="0.25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</row>
    <row r="220" spans="1:21" ht="13.5" customHeight="1" x14ac:dyDescent="0.25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</row>
    <row r="221" spans="1:21" ht="13.5" customHeight="1" x14ac:dyDescent="0.25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</row>
    <row r="222" spans="1:21" ht="13.5" customHeight="1" x14ac:dyDescent="0.25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</row>
    <row r="223" spans="1:21" ht="13.5" customHeight="1" x14ac:dyDescent="0.25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</row>
    <row r="224" spans="1:21" ht="13.5" customHeight="1" x14ac:dyDescent="0.25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</row>
    <row r="225" spans="1:21" ht="13.5" customHeight="1" x14ac:dyDescent="0.25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</row>
    <row r="226" spans="1:21" ht="13.5" customHeight="1" x14ac:dyDescent="0.25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</row>
    <row r="227" spans="1:21" ht="13.5" customHeight="1" x14ac:dyDescent="0.25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</row>
    <row r="228" spans="1:21" ht="13.5" customHeight="1" x14ac:dyDescent="0.25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</row>
    <row r="229" spans="1:21" ht="13.5" customHeight="1" x14ac:dyDescent="0.25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</row>
    <row r="230" spans="1:21" ht="13.5" customHeight="1" x14ac:dyDescent="0.25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</row>
    <row r="231" spans="1:21" ht="13.5" customHeight="1" x14ac:dyDescent="0.25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</row>
    <row r="232" spans="1:21" ht="13.5" customHeight="1" x14ac:dyDescent="0.25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</row>
    <row r="233" spans="1:21" ht="13.5" customHeight="1" x14ac:dyDescent="0.25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</row>
    <row r="234" spans="1:21" ht="13.5" customHeight="1" x14ac:dyDescent="0.25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</row>
    <row r="235" spans="1:21" ht="13.5" customHeight="1" x14ac:dyDescent="0.25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</row>
    <row r="236" spans="1:21" ht="13.5" customHeight="1" x14ac:dyDescent="0.25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</row>
    <row r="237" spans="1:21" ht="13.5" customHeight="1" x14ac:dyDescent="0.25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</row>
    <row r="238" spans="1:21" ht="13.5" customHeight="1" x14ac:dyDescent="0.25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</row>
    <row r="239" spans="1:21" ht="13.5" customHeight="1" x14ac:dyDescent="0.25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</row>
    <row r="240" spans="1:21" ht="13.5" customHeight="1" x14ac:dyDescent="0.25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</row>
    <row r="241" spans="1:21" ht="13.5" customHeight="1" x14ac:dyDescent="0.25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</row>
    <row r="242" spans="1:21" ht="13.5" customHeight="1" x14ac:dyDescent="0.25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</row>
    <row r="243" spans="1:21" ht="13.5" customHeight="1" x14ac:dyDescent="0.25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</row>
    <row r="244" spans="1:21" ht="13.5" customHeight="1" x14ac:dyDescent="0.25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</row>
    <row r="245" spans="1:21" ht="13.5" customHeight="1" x14ac:dyDescent="0.25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</row>
    <row r="246" spans="1:21" ht="13.5" customHeight="1" x14ac:dyDescent="0.25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</row>
    <row r="247" spans="1:21" ht="13.5" customHeight="1" x14ac:dyDescent="0.25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</row>
    <row r="248" spans="1:21" ht="13.5" customHeight="1" x14ac:dyDescent="0.25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</row>
    <row r="249" spans="1:21" ht="13.5" customHeight="1" x14ac:dyDescent="0.25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</row>
    <row r="250" spans="1:21" ht="13.5" customHeight="1" x14ac:dyDescent="0.25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</row>
    <row r="251" spans="1:21" ht="13.5" customHeight="1" x14ac:dyDescent="0.25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</row>
    <row r="252" spans="1:21" ht="13.5" customHeight="1" x14ac:dyDescent="0.25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</row>
    <row r="253" spans="1:21" ht="13.5" customHeight="1" x14ac:dyDescent="0.25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</row>
    <row r="254" spans="1:21" ht="13.5" customHeight="1" x14ac:dyDescent="0.25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</row>
    <row r="255" spans="1:21" ht="13.5" customHeight="1" x14ac:dyDescent="0.25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</row>
    <row r="256" spans="1:21" ht="13.5" customHeight="1" x14ac:dyDescent="0.25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</row>
    <row r="257" spans="1:21" ht="13.5" customHeight="1" x14ac:dyDescent="0.25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</row>
    <row r="258" spans="1:21" ht="13.5" customHeight="1" x14ac:dyDescent="0.25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</row>
    <row r="259" spans="1:21" ht="13.5" customHeight="1" x14ac:dyDescent="0.25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</row>
    <row r="260" spans="1:21" ht="13.5" customHeight="1" x14ac:dyDescent="0.25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</row>
    <row r="261" spans="1:21" ht="13.5" customHeight="1" x14ac:dyDescent="0.25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</row>
    <row r="262" spans="1:21" ht="13.5" customHeight="1" x14ac:dyDescent="0.25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</row>
    <row r="263" spans="1:21" ht="13.5" customHeight="1" x14ac:dyDescent="0.25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</row>
    <row r="264" spans="1:21" ht="13.5" customHeight="1" x14ac:dyDescent="0.25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</row>
    <row r="265" spans="1:21" ht="13.5" customHeight="1" x14ac:dyDescent="0.25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</row>
    <row r="266" spans="1:21" ht="13.5" customHeight="1" x14ac:dyDescent="0.25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</row>
    <row r="267" spans="1:21" ht="13.5" customHeight="1" x14ac:dyDescent="0.25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</row>
    <row r="268" spans="1:21" ht="13.5" customHeight="1" x14ac:dyDescent="0.25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</row>
    <row r="269" spans="1:21" ht="13.5" customHeight="1" x14ac:dyDescent="0.25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</row>
    <row r="270" spans="1:21" ht="13.5" customHeight="1" x14ac:dyDescent="0.25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</row>
    <row r="271" spans="1:21" ht="13.5" customHeight="1" x14ac:dyDescent="0.25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</row>
    <row r="272" spans="1:21" ht="13.5" customHeight="1" x14ac:dyDescent="0.25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</row>
    <row r="273" spans="1:21" ht="13.5" customHeight="1" x14ac:dyDescent="0.25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</row>
    <row r="274" spans="1:21" ht="13.5" customHeight="1" x14ac:dyDescent="0.25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</row>
    <row r="275" spans="1:21" ht="13.5" customHeight="1" x14ac:dyDescent="0.25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</row>
    <row r="276" spans="1:21" ht="13.5" customHeight="1" x14ac:dyDescent="0.25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</row>
    <row r="277" spans="1:21" ht="13.5" customHeight="1" x14ac:dyDescent="0.25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</row>
    <row r="278" spans="1:21" ht="13.5" customHeight="1" x14ac:dyDescent="0.25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</row>
    <row r="279" spans="1:21" ht="13.5" customHeight="1" x14ac:dyDescent="0.25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</row>
    <row r="280" spans="1:21" ht="13.5" customHeight="1" x14ac:dyDescent="0.25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</row>
    <row r="281" spans="1:21" ht="13.5" customHeight="1" x14ac:dyDescent="0.25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</row>
    <row r="282" spans="1:21" ht="13.5" customHeight="1" x14ac:dyDescent="0.25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</row>
    <row r="283" spans="1:21" ht="13.5" customHeight="1" x14ac:dyDescent="0.25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</row>
    <row r="284" spans="1:21" ht="13.5" customHeight="1" x14ac:dyDescent="0.25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</row>
    <row r="285" spans="1:21" ht="13.5" customHeight="1" x14ac:dyDescent="0.25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</row>
    <row r="286" spans="1:21" ht="13.5" customHeight="1" x14ac:dyDescent="0.25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</row>
    <row r="287" spans="1:21" ht="13.5" customHeight="1" x14ac:dyDescent="0.25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</row>
    <row r="288" spans="1:21" ht="13.5" customHeight="1" x14ac:dyDescent="0.25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</row>
    <row r="289" spans="1:21" ht="13.5" customHeight="1" x14ac:dyDescent="0.25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</row>
    <row r="290" spans="1:21" ht="13.5" customHeight="1" x14ac:dyDescent="0.25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</row>
    <row r="291" spans="1:21" ht="13.5" customHeight="1" x14ac:dyDescent="0.25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</row>
    <row r="292" spans="1:21" ht="13.5" customHeight="1" x14ac:dyDescent="0.25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</row>
    <row r="293" spans="1:21" ht="13.5" customHeight="1" x14ac:dyDescent="0.25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</row>
    <row r="294" spans="1:21" ht="13.5" customHeight="1" x14ac:dyDescent="0.25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</row>
    <row r="295" spans="1:21" ht="13.5" customHeight="1" x14ac:dyDescent="0.25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</row>
    <row r="296" spans="1:21" ht="13.5" customHeight="1" x14ac:dyDescent="0.25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</row>
    <row r="297" spans="1:21" ht="13.5" customHeight="1" x14ac:dyDescent="0.25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</row>
    <row r="298" spans="1:21" ht="13.5" customHeight="1" x14ac:dyDescent="0.25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</row>
    <row r="299" spans="1:21" ht="13.5" customHeight="1" x14ac:dyDescent="0.25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</row>
    <row r="300" spans="1:21" ht="13.5" customHeight="1" x14ac:dyDescent="0.25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</row>
    <row r="301" spans="1:21" ht="13.5" customHeight="1" x14ac:dyDescent="0.25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</row>
    <row r="302" spans="1:21" ht="13.5" customHeight="1" x14ac:dyDescent="0.25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</row>
    <row r="303" spans="1:21" ht="13.5" customHeight="1" x14ac:dyDescent="0.25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</row>
    <row r="304" spans="1:21" ht="13.5" customHeight="1" x14ac:dyDescent="0.25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</row>
    <row r="305" spans="1:21" ht="13.5" customHeight="1" x14ac:dyDescent="0.25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</row>
    <row r="306" spans="1:21" ht="13.5" customHeight="1" x14ac:dyDescent="0.25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</row>
    <row r="307" spans="1:21" ht="13.5" customHeight="1" x14ac:dyDescent="0.25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</row>
    <row r="308" spans="1:21" ht="13.5" customHeight="1" x14ac:dyDescent="0.25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</row>
    <row r="309" spans="1:21" ht="13.5" customHeight="1" x14ac:dyDescent="0.25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</row>
    <row r="310" spans="1:21" ht="13.5" customHeight="1" x14ac:dyDescent="0.25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</row>
    <row r="311" spans="1:21" ht="13.5" customHeight="1" x14ac:dyDescent="0.25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</row>
    <row r="312" spans="1:21" ht="13.5" customHeight="1" x14ac:dyDescent="0.25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</row>
    <row r="313" spans="1:21" ht="13.5" customHeight="1" x14ac:dyDescent="0.25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</row>
    <row r="314" spans="1:21" ht="13.5" customHeight="1" x14ac:dyDescent="0.25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</row>
    <row r="315" spans="1:21" ht="13.5" customHeight="1" x14ac:dyDescent="0.25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</row>
    <row r="316" spans="1:21" ht="13.5" customHeight="1" x14ac:dyDescent="0.25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</row>
    <row r="317" spans="1:21" ht="13.5" customHeight="1" x14ac:dyDescent="0.25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</row>
    <row r="318" spans="1:21" ht="13.5" customHeight="1" x14ac:dyDescent="0.25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</row>
    <row r="319" spans="1:21" ht="13.5" customHeight="1" x14ac:dyDescent="0.25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</row>
    <row r="320" spans="1:21" ht="13.5" customHeight="1" x14ac:dyDescent="0.25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</row>
    <row r="321" spans="1:21" ht="13.5" customHeight="1" x14ac:dyDescent="0.25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</row>
    <row r="322" spans="1:21" ht="13.5" customHeight="1" x14ac:dyDescent="0.25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</row>
    <row r="323" spans="1:21" ht="13.5" customHeight="1" x14ac:dyDescent="0.25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</row>
    <row r="324" spans="1:21" ht="13.5" customHeight="1" x14ac:dyDescent="0.25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</row>
    <row r="325" spans="1:21" ht="13.5" customHeight="1" x14ac:dyDescent="0.25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</row>
    <row r="326" spans="1:21" ht="13.5" customHeight="1" x14ac:dyDescent="0.25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</row>
    <row r="327" spans="1:21" ht="13.5" customHeight="1" x14ac:dyDescent="0.25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</row>
    <row r="328" spans="1:21" ht="13.5" customHeight="1" x14ac:dyDescent="0.25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</row>
    <row r="329" spans="1:21" ht="13.5" customHeight="1" x14ac:dyDescent="0.25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</row>
    <row r="330" spans="1:21" ht="13.5" customHeight="1" x14ac:dyDescent="0.25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</row>
    <row r="331" spans="1:21" ht="13.5" customHeight="1" x14ac:dyDescent="0.25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</row>
  </sheetData>
  <mergeCells count="16">
    <mergeCell ref="H2:J2"/>
    <mergeCell ref="K2:M2"/>
    <mergeCell ref="N2:P2"/>
    <mergeCell ref="Q2:S2"/>
    <mergeCell ref="H10:J10"/>
    <mergeCell ref="K10:M10"/>
    <mergeCell ref="N10:P10"/>
    <mergeCell ref="Q10:S10"/>
    <mergeCell ref="H22:J22"/>
    <mergeCell ref="K22:M22"/>
    <mergeCell ref="N22:P22"/>
    <mergeCell ref="Q22:S22"/>
    <mergeCell ref="H32:J32"/>
    <mergeCell ref="K32:M32"/>
    <mergeCell ref="N32:P32"/>
    <mergeCell ref="Q32:S32"/>
  </mergeCells>
  <conditionalFormatting sqref="D4:D7">
    <cfRule type="containsText" dxfId="86" priority="85" operator="containsText" text="Approved">
      <formula>NOT(ISERROR(SEARCH("Approved",D4)))</formula>
    </cfRule>
    <cfRule type="containsText" dxfId="85" priority="86" operator="containsText" text="Needs Review">
      <formula>NOT(ISERROR(SEARCH("Needs Review",D4)))</formula>
    </cfRule>
    <cfRule type="containsText" dxfId="84" priority="87" operator="containsText" text="Not Started">
      <formula>NOT(ISERROR(SEARCH("Not Started",D4)))</formula>
    </cfRule>
    <cfRule type="containsText" dxfId="83" priority="88" operator="containsText" text="On Hold">
      <formula>NOT(ISERROR(SEARCH("On Hold",D4)))</formula>
    </cfRule>
    <cfRule type="containsText" dxfId="82" priority="89" operator="containsText" text="Overdue">
      <formula>NOT(ISERROR(SEARCH("Overdue",D4)))</formula>
    </cfRule>
    <cfRule type="containsText" dxfId="81" priority="90" operator="containsText" text="Complete">
      <formula>NOT(ISERROR(SEARCH("Complete",D4)))</formula>
    </cfRule>
    <cfRule type="containsText" dxfId="80" priority="91" operator="containsText" text="In Progress">
      <formula>NOT(ISERROR(SEARCH("In Progress",D4)))</formula>
    </cfRule>
  </conditionalFormatting>
  <conditionalFormatting sqref="D5:D7">
    <cfRule type="cellIs" dxfId="79" priority="77" operator="equal">
      <formula>"No Iniciado"</formula>
    </cfRule>
    <cfRule type="cellIs" dxfId="78" priority="78" operator="equal">
      <formula>"Aprobado"</formula>
    </cfRule>
    <cfRule type="cellIs" dxfId="77" priority="79" operator="equal">
      <formula>"En Espera"</formula>
    </cfRule>
    <cfRule type="cellIs" dxfId="76" priority="80" operator="equal">
      <formula>"Atrasado"</formula>
    </cfRule>
    <cfRule type="cellIs" dxfId="75" priority="81" operator="equal">
      <formula>"Aprovado"</formula>
    </cfRule>
    <cfRule type="cellIs" dxfId="74" priority="82" operator="equal">
      <formula>"Requiere Revisión"</formula>
    </cfRule>
    <cfRule type="cellIs" dxfId="73" priority="83" operator="equal">
      <formula>"En Progreso"</formula>
    </cfRule>
    <cfRule type="cellIs" dxfId="72" priority="84" operator="equal">
      <formula>"Completo"</formula>
    </cfRule>
  </conditionalFormatting>
  <conditionalFormatting sqref="S5:S8">
    <cfRule type="cellIs" dxfId="11" priority="92" operator="lessThan">
      <formula>0</formula>
    </cfRule>
    <cfRule type="cellIs" dxfId="10" priority="93" operator="greaterThan">
      <formula>0</formula>
    </cfRule>
  </conditionalFormatting>
  <conditionalFormatting sqref="S9">
    <cfRule type="colorScale" priority="9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3" right="0.3" top="0.3" bottom="0.3" header="0.511811023622047" footer="0.511811023622047"/>
  <pageSetup fitToHeight="0" orientation="landscape" horizontalDpi="300" verticalDpi="300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BFBFBF"/>
  </sheetPr>
  <dimension ref="A1:AF61"/>
  <sheetViews>
    <sheetView showGridLines="0" zoomScaleNormal="100" workbookViewId="0">
      <selection activeCell="F6" sqref="F6"/>
    </sheetView>
  </sheetViews>
  <sheetFormatPr baseColWidth="10" defaultColWidth="10.625" defaultRowHeight="15.75" x14ac:dyDescent="0.25"/>
  <cols>
    <col min="1" max="1" width="3.375" style="9" customWidth="1"/>
    <col min="2" max="2" width="10.875" style="9" customWidth="1"/>
    <col min="3" max="3" width="3.375" style="9" customWidth="1"/>
    <col min="5" max="5" width="3.375" style="9" customWidth="1"/>
    <col min="6" max="6" width="12.875" customWidth="1"/>
    <col min="7" max="7" width="3.375" style="9" customWidth="1"/>
  </cols>
  <sheetData>
    <row r="1" spans="1:32" s="9" customFormat="1" ht="42" customHeight="1" x14ac:dyDescent="0.25">
      <c r="B1" s="55" t="s">
        <v>65</v>
      </c>
      <c r="C1" s="5"/>
      <c r="D1" s="5"/>
      <c r="E1" s="5"/>
      <c r="F1" s="5"/>
      <c r="G1" s="5"/>
      <c r="H1" s="5"/>
      <c r="I1" s="5"/>
      <c r="J1" s="5"/>
      <c r="R1" s="6"/>
      <c r="S1" s="6"/>
      <c r="T1" s="6"/>
      <c r="U1" s="6"/>
      <c r="V1" s="6"/>
      <c r="W1" s="6"/>
      <c r="X1" s="6"/>
      <c r="Y1" s="6"/>
      <c r="Z1" s="6"/>
      <c r="AA1" s="6"/>
      <c r="AB1" s="6"/>
      <c r="AC1" s="6"/>
      <c r="AD1" s="6"/>
      <c r="AE1" s="6"/>
      <c r="AF1" s="6"/>
    </row>
    <row r="2" spans="1:32" ht="24.75" customHeight="1" x14ac:dyDescent="0.25">
      <c r="A2" s="6"/>
      <c r="B2" s="56" t="s">
        <v>66</v>
      </c>
      <c r="C2" s="6"/>
      <c r="D2" s="56" t="s">
        <v>67</v>
      </c>
      <c r="E2" s="6"/>
      <c r="F2" s="56" t="s">
        <v>8</v>
      </c>
      <c r="G2" s="6"/>
    </row>
    <row r="3" spans="1:32" ht="34.5" customHeight="1" x14ac:dyDescent="0.25">
      <c r="A3" s="6"/>
      <c r="B3" s="57" t="s">
        <v>68</v>
      </c>
      <c r="C3" s="6"/>
      <c r="D3" s="58" t="s">
        <v>69</v>
      </c>
      <c r="E3" s="6"/>
      <c r="F3" s="59" t="s">
        <v>24</v>
      </c>
      <c r="G3" s="6"/>
    </row>
    <row r="4" spans="1:32" ht="34.5" customHeight="1" x14ac:dyDescent="0.25">
      <c r="A4" s="6"/>
      <c r="B4" s="60" t="s">
        <v>70</v>
      </c>
      <c r="C4" s="6"/>
      <c r="D4" s="61" t="s">
        <v>71</v>
      </c>
      <c r="E4" s="6"/>
      <c r="F4" s="62" t="s">
        <v>72</v>
      </c>
      <c r="G4" s="6"/>
    </row>
    <row r="5" spans="1:32" ht="34.5" customHeight="1" x14ac:dyDescent="0.25">
      <c r="A5" s="6"/>
      <c r="C5" s="6"/>
      <c r="D5" s="63" t="s">
        <v>73</v>
      </c>
      <c r="E5" s="6"/>
      <c r="F5" s="64" t="s">
        <v>74</v>
      </c>
      <c r="G5" s="6"/>
    </row>
    <row r="6" spans="1:32" ht="34.5" customHeight="1" x14ac:dyDescent="0.3">
      <c r="A6" s="6"/>
      <c r="C6" s="6"/>
      <c r="D6" s="65"/>
      <c r="E6" s="6"/>
      <c r="F6" s="66" t="s">
        <v>75</v>
      </c>
      <c r="G6" s="6"/>
    </row>
    <row r="7" spans="1:32" ht="34.5" customHeight="1" x14ac:dyDescent="0.3">
      <c r="A7" s="6"/>
      <c r="C7" s="6"/>
      <c r="D7" s="65"/>
      <c r="E7" s="6"/>
      <c r="F7" s="67" t="s">
        <v>76</v>
      </c>
      <c r="G7" s="6"/>
    </row>
    <row r="8" spans="1:32" ht="34.5" customHeight="1" x14ac:dyDescent="0.25">
      <c r="A8" s="6"/>
      <c r="C8" s="6"/>
      <c r="E8" s="6"/>
      <c r="F8" s="68" t="s">
        <v>77</v>
      </c>
      <c r="G8" s="6"/>
    </row>
    <row r="9" spans="1:32" ht="34.5" customHeight="1" x14ac:dyDescent="0.25">
      <c r="A9" s="6"/>
      <c r="B9" s="6"/>
      <c r="C9" s="6"/>
      <c r="E9" s="6"/>
      <c r="F9" s="69" t="s">
        <v>78</v>
      </c>
      <c r="G9" s="6"/>
    </row>
    <row r="10" spans="1:32" ht="34.5" customHeight="1" x14ac:dyDescent="0.3">
      <c r="A10" s="6"/>
      <c r="B10" s="6"/>
      <c r="C10" s="6"/>
      <c r="D10" s="65"/>
      <c r="E10" s="6"/>
      <c r="F10" s="70"/>
      <c r="G10" s="6"/>
    </row>
    <row r="11" spans="1:32" ht="34.5" customHeight="1" x14ac:dyDescent="0.3">
      <c r="A11" s="6"/>
      <c r="B11" s="6"/>
      <c r="C11" s="6"/>
      <c r="D11" s="65"/>
      <c r="E11" s="6"/>
      <c r="F11" s="70"/>
      <c r="G11" s="6"/>
    </row>
    <row r="12" spans="1:32" ht="16.5" customHeight="1" x14ac:dyDescent="0.3">
      <c r="A12" s="6"/>
      <c r="B12" s="6"/>
      <c r="C12" s="6"/>
      <c r="D12" s="65"/>
      <c r="E12" s="6"/>
      <c r="F12" s="65"/>
      <c r="G12" s="6"/>
    </row>
    <row r="13" spans="1:32" ht="16.5" customHeight="1" x14ac:dyDescent="0.3">
      <c r="A13" s="6"/>
      <c r="B13" s="6"/>
      <c r="C13" s="6"/>
      <c r="D13" s="65"/>
      <c r="E13" s="6"/>
      <c r="F13" s="65"/>
      <c r="G13" s="6"/>
    </row>
    <row r="14" spans="1:32" ht="16.5" customHeight="1" x14ac:dyDescent="0.3">
      <c r="A14" s="6"/>
      <c r="B14" s="6"/>
      <c r="C14" s="6"/>
      <c r="D14" s="65"/>
      <c r="E14" s="6"/>
      <c r="F14" s="65"/>
      <c r="G14" s="6"/>
    </row>
    <row r="15" spans="1:32" ht="16.5" customHeight="1" x14ac:dyDescent="0.3">
      <c r="A15" s="6"/>
      <c r="B15" s="6"/>
      <c r="C15" s="6"/>
      <c r="D15" s="65"/>
      <c r="E15" s="6"/>
      <c r="F15" s="65"/>
      <c r="G15" s="6"/>
    </row>
    <row r="16" spans="1:32" ht="16.5" customHeight="1" x14ac:dyDescent="0.3">
      <c r="A16" s="6"/>
      <c r="B16" s="6"/>
      <c r="C16" s="6"/>
      <c r="D16" s="65"/>
      <c r="E16" s="6"/>
      <c r="F16" s="65"/>
      <c r="G16" s="6"/>
    </row>
    <row r="17" spans="1:7" ht="16.5" customHeight="1" x14ac:dyDescent="0.3">
      <c r="A17" s="6"/>
      <c r="B17" s="6"/>
      <c r="C17" s="6"/>
      <c r="D17" s="65"/>
      <c r="E17" s="6"/>
      <c r="G17" s="6"/>
    </row>
    <row r="18" spans="1:7" ht="16.5" customHeight="1" x14ac:dyDescent="0.3">
      <c r="A18" s="6"/>
      <c r="B18" s="6"/>
      <c r="C18" s="6"/>
      <c r="D18" s="65"/>
      <c r="E18" s="6"/>
      <c r="G18" s="6"/>
    </row>
    <row r="19" spans="1:7" ht="16.5" customHeight="1" x14ac:dyDescent="0.3">
      <c r="A19" s="6"/>
      <c r="B19" s="6"/>
      <c r="C19" s="6"/>
      <c r="D19" s="65"/>
      <c r="E19" s="6"/>
      <c r="G19" s="6"/>
    </row>
    <row r="20" spans="1:7" ht="16.5" customHeight="1" x14ac:dyDescent="0.3">
      <c r="A20" s="6"/>
      <c r="B20" s="6"/>
      <c r="C20" s="6"/>
      <c r="D20" s="65"/>
      <c r="E20" s="6"/>
      <c r="G20" s="6"/>
    </row>
    <row r="21" spans="1:7" ht="16.5" customHeight="1" x14ac:dyDescent="0.3">
      <c r="A21" s="6"/>
      <c r="B21" s="6"/>
      <c r="C21" s="6"/>
      <c r="D21" s="65"/>
      <c r="E21" s="6"/>
      <c r="G21" s="6"/>
    </row>
    <row r="22" spans="1:7" ht="16.5" customHeight="1" x14ac:dyDescent="0.3">
      <c r="A22" s="6"/>
      <c r="B22" s="6"/>
      <c r="C22" s="6"/>
      <c r="D22" s="65"/>
      <c r="E22" s="6"/>
      <c r="G22" s="6"/>
    </row>
    <row r="23" spans="1:7" ht="16.5" customHeight="1" x14ac:dyDescent="0.3">
      <c r="A23" s="6"/>
      <c r="B23" s="6"/>
      <c r="C23" s="6"/>
      <c r="D23" s="65"/>
      <c r="E23" s="6"/>
      <c r="G23" s="6"/>
    </row>
    <row r="24" spans="1:7" ht="16.5" customHeight="1" x14ac:dyDescent="0.3">
      <c r="A24" s="6"/>
      <c r="B24" s="6"/>
      <c r="C24" s="6"/>
      <c r="D24" s="65"/>
      <c r="E24" s="6"/>
      <c r="G24" s="6"/>
    </row>
    <row r="25" spans="1:7" ht="16.5" customHeight="1" x14ac:dyDescent="0.3">
      <c r="A25" s="6"/>
      <c r="B25" s="6"/>
      <c r="C25" s="6"/>
      <c r="D25" s="65"/>
      <c r="E25" s="6"/>
      <c r="G25" s="6"/>
    </row>
    <row r="26" spans="1:7" ht="16.5" customHeight="1" x14ac:dyDescent="0.3">
      <c r="A26" s="6"/>
      <c r="B26" s="6"/>
      <c r="C26" s="6"/>
      <c r="D26" s="65"/>
      <c r="E26" s="6"/>
      <c r="G26" s="6"/>
    </row>
    <row r="27" spans="1:7" ht="16.5" customHeight="1" x14ac:dyDescent="0.3">
      <c r="A27" s="6"/>
      <c r="B27" s="6"/>
      <c r="C27" s="6"/>
      <c r="D27" s="65"/>
      <c r="E27" s="6"/>
      <c r="G27" s="6"/>
    </row>
    <row r="28" spans="1:7" ht="16.5" customHeight="1" x14ac:dyDescent="0.3">
      <c r="A28" s="6"/>
      <c r="B28" s="6"/>
      <c r="C28" s="6"/>
      <c r="D28" s="65"/>
      <c r="E28" s="6"/>
      <c r="G28" s="6"/>
    </row>
    <row r="29" spans="1:7" ht="16.5" customHeight="1" x14ac:dyDescent="0.3">
      <c r="A29" s="6"/>
      <c r="B29" s="6"/>
      <c r="C29" s="6"/>
      <c r="D29" s="65"/>
      <c r="E29" s="6"/>
      <c r="G29" s="6"/>
    </row>
    <row r="30" spans="1:7" ht="16.5" customHeight="1" x14ac:dyDescent="0.3">
      <c r="A30" s="6"/>
      <c r="B30" s="6"/>
      <c r="C30" s="6"/>
      <c r="D30" s="65"/>
      <c r="E30" s="6"/>
      <c r="G30" s="6"/>
    </row>
    <row r="31" spans="1:7" ht="16.5" customHeight="1" x14ac:dyDescent="0.3">
      <c r="A31" s="6"/>
      <c r="B31" s="6"/>
      <c r="C31" s="6"/>
      <c r="D31" s="65"/>
      <c r="E31" s="6"/>
      <c r="G31" s="6"/>
    </row>
    <row r="32" spans="1:7" ht="16.5" customHeight="1" x14ac:dyDescent="0.3">
      <c r="D32" s="65"/>
    </row>
    <row r="33" spans="1:7" ht="15.75" customHeight="1" x14ac:dyDescent="0.25">
      <c r="A33" s="6"/>
      <c r="B33" s="6"/>
      <c r="C33" s="6"/>
      <c r="E33" s="6"/>
      <c r="G33" s="6"/>
    </row>
    <row r="34" spans="1:7" ht="15.75" customHeight="1" x14ac:dyDescent="0.25">
      <c r="A34" s="6"/>
      <c r="B34" s="6"/>
      <c r="C34" s="6"/>
      <c r="E34" s="6"/>
      <c r="G34" s="6"/>
    </row>
    <row r="35" spans="1:7" ht="15.75" customHeight="1" x14ac:dyDescent="0.25">
      <c r="A35" s="6"/>
      <c r="B35" s="6"/>
      <c r="C35" s="6"/>
      <c r="E35" s="6"/>
      <c r="G35" s="6"/>
    </row>
    <row r="36" spans="1:7" ht="15.75" customHeight="1" x14ac:dyDescent="0.25">
      <c r="A36" s="6"/>
      <c r="B36" s="6"/>
      <c r="C36" s="6"/>
      <c r="E36" s="6"/>
      <c r="G36" s="6"/>
    </row>
    <row r="37" spans="1:7" ht="15.75" customHeight="1" x14ac:dyDescent="0.25">
      <c r="A37" s="6"/>
      <c r="B37" s="6"/>
      <c r="C37" s="6"/>
      <c r="E37" s="6"/>
      <c r="G37" s="6"/>
    </row>
    <row r="38" spans="1:7" ht="15.75" customHeight="1" x14ac:dyDescent="0.25">
      <c r="A38" s="6"/>
      <c r="B38" s="6"/>
      <c r="C38" s="6"/>
      <c r="E38" s="6"/>
      <c r="G38" s="6"/>
    </row>
    <row r="39" spans="1:7" ht="15.75" customHeight="1" x14ac:dyDescent="0.25">
      <c r="A39" s="6"/>
      <c r="B39" s="6"/>
      <c r="C39" s="6"/>
      <c r="E39" s="6"/>
      <c r="G39" s="6"/>
    </row>
    <row r="40" spans="1:7" ht="15.75" customHeight="1" x14ac:dyDescent="0.25">
      <c r="A40" s="6"/>
      <c r="B40" s="6"/>
      <c r="C40" s="6"/>
      <c r="E40" s="6"/>
      <c r="G40" s="6"/>
    </row>
    <row r="41" spans="1:7" ht="15.75" customHeight="1" x14ac:dyDescent="0.25">
      <c r="A41" s="6"/>
      <c r="B41" s="6"/>
      <c r="C41" s="6"/>
      <c r="E41" s="6"/>
      <c r="G41" s="6"/>
    </row>
    <row r="42" spans="1:7" ht="15.75" customHeight="1" x14ac:dyDescent="0.25">
      <c r="A42" s="6"/>
      <c r="B42" s="6"/>
      <c r="C42" s="6"/>
      <c r="E42" s="6"/>
      <c r="G42" s="6"/>
    </row>
    <row r="43" spans="1:7" ht="15.75" customHeight="1" x14ac:dyDescent="0.25">
      <c r="A43" s="6"/>
      <c r="B43" s="6"/>
      <c r="C43" s="6"/>
      <c r="E43" s="6"/>
      <c r="G43" s="6"/>
    </row>
    <row r="44" spans="1:7" ht="15.75" customHeight="1" x14ac:dyDescent="0.25">
      <c r="A44" s="6"/>
      <c r="B44" s="6"/>
      <c r="C44" s="6"/>
      <c r="E44" s="6"/>
      <c r="G44" s="6"/>
    </row>
    <row r="45" spans="1:7" ht="15.75" customHeight="1" x14ac:dyDescent="0.25">
      <c r="A45" s="6"/>
      <c r="B45" s="6"/>
      <c r="C45" s="6"/>
      <c r="E45" s="6"/>
      <c r="G45" s="6"/>
    </row>
    <row r="46" spans="1:7" ht="15.75" customHeight="1" x14ac:dyDescent="0.25">
      <c r="A46" s="6"/>
      <c r="B46" s="6"/>
      <c r="C46" s="6"/>
      <c r="E46" s="6"/>
      <c r="G46" s="6"/>
    </row>
    <row r="47" spans="1:7" ht="15.75" customHeight="1" x14ac:dyDescent="0.25">
      <c r="A47" s="6"/>
      <c r="B47" s="6"/>
      <c r="C47" s="6"/>
      <c r="E47" s="6"/>
      <c r="G47" s="6"/>
    </row>
    <row r="48" spans="1:7" ht="15.75" customHeight="1" x14ac:dyDescent="0.25">
      <c r="A48" s="6"/>
      <c r="B48" s="6"/>
      <c r="C48" s="6"/>
      <c r="E48" s="6"/>
      <c r="G48" s="6"/>
    </row>
    <row r="49" spans="1:7" ht="15.75" customHeight="1" x14ac:dyDescent="0.25">
      <c r="A49" s="6"/>
      <c r="B49" s="6"/>
      <c r="C49" s="6"/>
      <c r="E49" s="6"/>
      <c r="G49" s="6"/>
    </row>
    <row r="50" spans="1:7" ht="15.75" customHeight="1" x14ac:dyDescent="0.25">
      <c r="A50" s="6"/>
      <c r="B50" s="6"/>
      <c r="C50" s="6"/>
      <c r="E50" s="6"/>
      <c r="G50" s="6"/>
    </row>
    <row r="51" spans="1:7" ht="15.75" customHeight="1" x14ac:dyDescent="0.25">
      <c r="A51" s="6"/>
      <c r="B51" s="6"/>
      <c r="C51" s="6"/>
      <c r="E51" s="6"/>
      <c r="G51" s="6"/>
    </row>
    <row r="52" spans="1:7" ht="15.75" customHeight="1" x14ac:dyDescent="0.25">
      <c r="A52" s="6"/>
      <c r="B52" s="6"/>
      <c r="C52" s="6"/>
      <c r="E52" s="6"/>
      <c r="G52" s="6"/>
    </row>
    <row r="53" spans="1:7" ht="15.75" customHeight="1" x14ac:dyDescent="0.25">
      <c r="A53" s="6"/>
      <c r="B53" s="6"/>
      <c r="C53" s="6"/>
      <c r="E53" s="6"/>
      <c r="G53" s="6"/>
    </row>
    <row r="54" spans="1:7" ht="15.75" customHeight="1" x14ac:dyDescent="0.25">
      <c r="A54" s="6"/>
      <c r="B54" s="6"/>
      <c r="C54" s="6"/>
      <c r="E54" s="6"/>
      <c r="G54" s="6"/>
    </row>
    <row r="55" spans="1:7" ht="15.75" customHeight="1" x14ac:dyDescent="0.25">
      <c r="A55" s="6"/>
      <c r="B55" s="6"/>
      <c r="C55" s="6"/>
      <c r="E55" s="6"/>
      <c r="G55" s="6"/>
    </row>
    <row r="56" spans="1:7" ht="15.75" customHeight="1" x14ac:dyDescent="0.25">
      <c r="A56" s="6"/>
      <c r="B56" s="6"/>
      <c r="C56" s="6"/>
      <c r="E56" s="6"/>
      <c r="G56" s="6"/>
    </row>
    <row r="57" spans="1:7" ht="15.75" customHeight="1" x14ac:dyDescent="0.25">
      <c r="A57" s="6"/>
      <c r="B57" s="6"/>
      <c r="C57" s="6"/>
      <c r="E57" s="6"/>
      <c r="G57" s="6"/>
    </row>
    <row r="58" spans="1:7" ht="15.75" customHeight="1" x14ac:dyDescent="0.25">
      <c r="A58" s="6"/>
      <c r="B58" s="6"/>
      <c r="C58" s="6"/>
      <c r="E58" s="6"/>
      <c r="G58" s="6"/>
    </row>
    <row r="59" spans="1:7" ht="15.75" customHeight="1" x14ac:dyDescent="0.25">
      <c r="A59" s="6"/>
      <c r="B59" s="6"/>
      <c r="C59" s="6"/>
      <c r="E59" s="6"/>
      <c r="G59" s="6"/>
    </row>
    <row r="60" spans="1:7" ht="15.75" customHeight="1" x14ac:dyDescent="0.25">
      <c r="A60" s="6"/>
      <c r="B60" s="6"/>
      <c r="C60" s="6"/>
      <c r="E60" s="6"/>
      <c r="G60" s="6"/>
    </row>
    <row r="61" spans="1:7" ht="15.75" customHeight="1" x14ac:dyDescent="0.25">
      <c r="A61" s="6"/>
      <c r="B61" s="6"/>
      <c r="C61" s="6"/>
      <c r="E61" s="6"/>
      <c r="G61" s="6"/>
    </row>
  </sheetData>
  <conditionalFormatting sqref="D3:D5">
    <cfRule type="containsText" dxfId="9" priority="9" operator="containsText" text="Low">
      <formula>NOT(ISERROR(SEARCH("Low",D3)))</formula>
    </cfRule>
    <cfRule type="containsText" dxfId="8" priority="10" operator="containsText" text="Medium">
      <formula>NOT(ISERROR(SEARCH("Medium",D3)))</formula>
    </cfRule>
    <cfRule type="containsText" dxfId="7" priority="11" operator="containsText" text="High">
      <formula>NOT(ISERROR(SEARCH("High",D3)))</formula>
    </cfRule>
  </conditionalFormatting>
  <conditionalFormatting sqref="F3:F11">
    <cfRule type="containsText" dxfId="6" priority="2" operator="containsText" text="Approved">
      <formula>NOT(ISERROR(SEARCH("Approved",F3)))</formula>
    </cfRule>
    <cfRule type="containsText" dxfId="5" priority="3" operator="containsText" text="Needs Review">
      <formula>NOT(ISERROR(SEARCH("Needs Review",F3)))</formula>
    </cfRule>
    <cfRule type="containsText" dxfId="4" priority="4" operator="containsText" text="Not Started">
      <formula>NOT(ISERROR(SEARCH("Not Started",F3)))</formula>
    </cfRule>
    <cfRule type="containsText" dxfId="3" priority="5" operator="containsText" text="On Hold">
      <formula>NOT(ISERROR(SEARCH("On Hold",F3)))</formula>
    </cfRule>
    <cfRule type="containsText" dxfId="2" priority="6" operator="containsText" text="Overdue">
      <formula>NOT(ISERROR(SEARCH("Overdue",F3)))</formula>
    </cfRule>
    <cfRule type="containsText" dxfId="1" priority="7" operator="containsText" text="Complete">
      <formula>NOT(ISERROR(SEARCH("Complete",F3)))</formula>
    </cfRule>
    <cfRule type="containsText" dxfId="0" priority="8" operator="containsText" text="In Progress">
      <formula>NOT(ISERROR(SEARCH("In Progress",F3)))</formula>
    </cfRule>
  </conditionalFormatting>
  <pageMargins left="0.7" right="0.7" top="0.75" bottom="0.75" header="0.511811023622047" footer="0.511811023622047"/>
  <pageSetup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2</vt:i4>
      </vt:variant>
      <vt:variant>
        <vt:lpstr>Rangos con nombre</vt:lpstr>
      </vt:variant>
      <vt:variant>
        <vt:i4>3</vt:i4>
      </vt:variant>
    </vt:vector>
  </HeadingPairs>
  <TitlesOfParts>
    <vt:vector size="5" baseType="lpstr">
      <vt:lpstr>Presupuesto del proyecto</vt:lpstr>
      <vt:lpstr>listas desplegables</vt:lpstr>
      <vt:lpstr>'Presupuesto del proyecto'!Área_de_impresión</vt:lpstr>
      <vt:lpstr>Status</vt:lpstr>
      <vt:lpstr>YesNo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Bess</dc:creator>
  <dc:description/>
  <cp:lastModifiedBy>JOHAN CAMILO RAMIREZ JIMENEZ</cp:lastModifiedBy>
  <cp:revision>0</cp:revision>
  <cp:lastPrinted>2022-01-31T23:51:04Z</cp:lastPrinted>
  <dcterms:created xsi:type="dcterms:W3CDTF">2015-08-28T20:34:30Z</dcterms:created>
  <dcterms:modified xsi:type="dcterms:W3CDTF">2026-08-27T23:34:14Z</dcterms:modified>
  <dc:language>en-US</dc:language>
</cp:coreProperties>
</file>