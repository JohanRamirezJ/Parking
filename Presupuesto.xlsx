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rgi\Downloads\"/>
    </mc:Choice>
  </mc:AlternateContent>
  <xr:revisionPtr revIDLastSave="0" documentId="8_{B465686E-82C2-D74F-8F7F-59ED14D95BFD}" xr6:coauthVersionLast="47" xr6:coauthVersionMax="47" xr10:uidLastSave="{00000000-0000-0000-0000-000000000000}"/>
  <bookViews>
    <workbookView xWindow="-98" yWindow="-98" windowWidth="21795" windowHeight="13695" tabRatio="500" xr2:uid="{00000000-000D-0000-FFFF-FFFF00000000}"/>
  </bookViews>
  <sheets>
    <sheet name="Presupuesto del proyecto" sheetId="1" r:id="rId1"/>
    <sheet name="listas desplegables" sheetId="2" r:id="rId2"/>
  </sheets>
  <definedNames>
    <definedName name="_xlnm.Print_Area" localSheetId="0">'Presupuesto del proyecto'!$B$1:$S$107</definedName>
    <definedName name="Priority">#REF!</definedName>
    <definedName name="Status">'listas desplegables'!$D$5:$D$7</definedName>
    <definedName name="YesNo">'listas desplegables'!$B$5:$B$6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91" i="1" l="1"/>
  <c r="P91" i="1"/>
  <c r="O91" i="1"/>
  <c r="N91" i="1"/>
  <c r="M90" i="1"/>
  <c r="J90" i="1"/>
  <c r="M89" i="1"/>
  <c r="J89" i="1"/>
  <c r="M88" i="1"/>
  <c r="J88" i="1"/>
  <c r="R88" i="1"/>
  <c r="S88" i="1"/>
  <c r="M87" i="1"/>
  <c r="J87" i="1"/>
  <c r="R87" i="1"/>
  <c r="S87" i="1"/>
  <c r="M86" i="1"/>
  <c r="J86" i="1"/>
  <c r="R86" i="1"/>
  <c r="S86" i="1"/>
  <c r="M85" i="1"/>
  <c r="J85" i="1"/>
  <c r="Q80" i="1"/>
  <c r="P80" i="1"/>
  <c r="O80" i="1"/>
  <c r="N80" i="1"/>
  <c r="M79" i="1"/>
  <c r="J79" i="1"/>
  <c r="M78" i="1"/>
  <c r="J78" i="1"/>
  <c r="M77" i="1"/>
  <c r="J77" i="1"/>
  <c r="R77" i="1"/>
  <c r="S77" i="1"/>
  <c r="M76" i="1"/>
  <c r="J76" i="1"/>
  <c r="Q71" i="1"/>
  <c r="P71" i="1"/>
  <c r="O71" i="1"/>
  <c r="N71" i="1"/>
  <c r="M70" i="1"/>
  <c r="J70" i="1"/>
  <c r="R70" i="1"/>
  <c r="S70" i="1"/>
  <c r="M69" i="1"/>
  <c r="J69" i="1"/>
  <c r="R69" i="1"/>
  <c r="S69" i="1"/>
  <c r="M68" i="1"/>
  <c r="J68" i="1"/>
  <c r="M67" i="1"/>
  <c r="J67" i="1"/>
  <c r="M66" i="1"/>
  <c r="J66" i="1"/>
  <c r="R66" i="1"/>
  <c r="S66" i="1"/>
  <c r="Q61" i="1"/>
  <c r="P61" i="1"/>
  <c r="O61" i="1"/>
  <c r="N61" i="1"/>
  <c r="M60" i="1"/>
  <c r="J60" i="1"/>
  <c r="M59" i="1"/>
  <c r="J59" i="1"/>
  <c r="R59" i="1"/>
  <c r="S59" i="1"/>
  <c r="M58" i="1"/>
  <c r="J58" i="1"/>
  <c r="M57" i="1"/>
  <c r="J57" i="1"/>
  <c r="R57" i="1"/>
  <c r="S57" i="1"/>
  <c r="M56" i="1"/>
  <c r="J56" i="1"/>
  <c r="M55" i="1"/>
  <c r="J55" i="1"/>
  <c r="M54" i="1"/>
  <c r="J54" i="1"/>
  <c r="Q49" i="1"/>
  <c r="P49" i="1"/>
  <c r="O49" i="1"/>
  <c r="N49" i="1"/>
  <c r="M48" i="1"/>
  <c r="J48" i="1"/>
  <c r="M47" i="1"/>
  <c r="J47" i="1"/>
  <c r="M46" i="1"/>
  <c r="J46" i="1"/>
  <c r="R46" i="1"/>
  <c r="S46" i="1"/>
  <c r="M45" i="1"/>
  <c r="J45" i="1"/>
  <c r="Q40" i="1"/>
  <c r="P40" i="1"/>
  <c r="O40" i="1"/>
  <c r="N40" i="1"/>
  <c r="M39" i="1"/>
  <c r="J39" i="1"/>
  <c r="M38" i="1"/>
  <c r="J38" i="1"/>
  <c r="M37" i="1"/>
  <c r="J37" i="1"/>
  <c r="M36" i="1"/>
  <c r="J36" i="1"/>
  <c r="M35" i="1"/>
  <c r="J35" i="1"/>
  <c r="R35" i="1"/>
  <c r="S35" i="1"/>
  <c r="M34" i="1"/>
  <c r="J34" i="1"/>
  <c r="M33" i="1"/>
  <c r="J33" i="1"/>
  <c r="R33" i="1"/>
  <c r="S33" i="1"/>
  <c r="Q28" i="1"/>
  <c r="P28" i="1"/>
  <c r="O28" i="1"/>
  <c r="N28" i="1"/>
  <c r="M27" i="1"/>
  <c r="J27" i="1"/>
  <c r="M26" i="1"/>
  <c r="J26" i="1"/>
  <c r="R26" i="1"/>
  <c r="S26" i="1"/>
  <c r="M25" i="1"/>
  <c r="J25" i="1"/>
  <c r="M24" i="1"/>
  <c r="J24" i="1"/>
  <c r="R24" i="1"/>
  <c r="S24" i="1"/>
  <c r="M23" i="1"/>
  <c r="J23" i="1"/>
  <c r="Q18" i="1"/>
  <c r="P18" i="1"/>
  <c r="O18" i="1"/>
  <c r="N18" i="1"/>
  <c r="M17" i="1"/>
  <c r="J17" i="1"/>
  <c r="M16" i="1"/>
  <c r="J16" i="1"/>
  <c r="M15" i="1"/>
  <c r="J15" i="1"/>
  <c r="M14" i="1"/>
  <c r="J14" i="1"/>
  <c r="M13" i="1"/>
  <c r="J13" i="1"/>
  <c r="R13" i="1"/>
  <c r="S13" i="1"/>
  <c r="Q8" i="1"/>
  <c r="P8" i="1"/>
  <c r="O8" i="1"/>
  <c r="N8" i="1"/>
  <c r="M7" i="1"/>
  <c r="J7" i="1"/>
  <c r="M6" i="1"/>
  <c r="J6" i="1"/>
  <c r="M5" i="1"/>
  <c r="J5" i="1"/>
  <c r="R25" i="1"/>
  <c r="S25" i="1"/>
  <c r="R36" i="1"/>
  <c r="S36" i="1"/>
  <c r="R47" i="1"/>
  <c r="S47" i="1"/>
  <c r="R90" i="1"/>
  <c r="S90" i="1"/>
  <c r="R58" i="1"/>
  <c r="S58" i="1"/>
  <c r="R6" i="1"/>
  <c r="S6" i="1"/>
  <c r="R17" i="1"/>
  <c r="S17" i="1"/>
  <c r="R39" i="1"/>
  <c r="S39" i="1"/>
  <c r="R60" i="1"/>
  <c r="S60" i="1"/>
  <c r="R78" i="1"/>
  <c r="S78" i="1"/>
  <c r="R54" i="1"/>
  <c r="S54" i="1"/>
  <c r="R5" i="1"/>
  <c r="S5" i="1"/>
  <c r="R16" i="1"/>
  <c r="S16" i="1"/>
  <c r="R27" i="1"/>
  <c r="S27" i="1"/>
  <c r="R38" i="1"/>
  <c r="S38" i="1"/>
  <c r="R55" i="1"/>
  <c r="S55" i="1"/>
  <c r="R79" i="1"/>
  <c r="S79" i="1"/>
  <c r="R85" i="1"/>
  <c r="S85" i="1"/>
  <c r="R34" i="1"/>
  <c r="S34" i="1"/>
  <c r="M40" i="1"/>
  <c r="M80" i="1"/>
  <c r="J28" i="1"/>
  <c r="M91" i="1"/>
  <c r="J80" i="1"/>
  <c r="M49" i="1"/>
  <c r="J91" i="1"/>
  <c r="J40" i="1"/>
  <c r="M61" i="1"/>
  <c r="J71" i="1"/>
  <c r="J18" i="1"/>
  <c r="M71" i="1"/>
  <c r="M18" i="1"/>
  <c r="R45" i="1"/>
  <c r="S45" i="1"/>
  <c r="R68" i="1"/>
  <c r="S68" i="1"/>
  <c r="R89" i="1"/>
  <c r="S89" i="1"/>
  <c r="M28" i="1"/>
  <c r="J49" i="1"/>
  <c r="R15" i="1"/>
  <c r="S15" i="1"/>
  <c r="R37" i="1"/>
  <c r="S37" i="1"/>
  <c r="M8" i="1"/>
  <c r="J8" i="1"/>
  <c r="J61" i="1"/>
  <c r="R7" i="1"/>
  <c r="S7" i="1"/>
  <c r="R56" i="1"/>
  <c r="S56" i="1"/>
  <c r="R23" i="1"/>
  <c r="S23" i="1"/>
  <c r="R48" i="1"/>
  <c r="S48" i="1"/>
  <c r="R76" i="1"/>
  <c r="S76" i="1"/>
  <c r="R67" i="1"/>
  <c r="S67" i="1"/>
  <c r="R14" i="1"/>
  <c r="S14" i="1"/>
  <c r="R61" i="1"/>
  <c r="S61" i="1"/>
  <c r="R80" i="1"/>
  <c r="S80" i="1"/>
  <c r="R28" i="1"/>
  <c r="S28" i="1"/>
  <c r="R91" i="1"/>
  <c r="S91" i="1"/>
  <c r="R40" i="1"/>
  <c r="S40" i="1"/>
  <c r="R49" i="1"/>
  <c r="S49" i="1"/>
  <c r="R71" i="1"/>
  <c r="S71" i="1"/>
  <c r="R18" i="1"/>
  <c r="S18" i="1"/>
  <c r="R8" i="1"/>
  <c r="S8" i="1"/>
</calcChain>
</file>

<file path=xl/sharedStrings.xml><?xml version="1.0" encoding="utf-8"?>
<sst xmlns="http://schemas.openxmlformats.org/spreadsheetml/2006/main" count="380" uniqueCount="123">
  <si>
    <t>Presupuesto de Proyecto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</si>
  <si>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</si>
  <si>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</si>
  <si>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</si>
  <si>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</si>
  <si>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</si>
  <si>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</si>
  <si>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</si>
  <si>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</si>
  <si>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</si>
  <si>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</si>
  <si>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</si>
  <si>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</si>
  <si>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</si>
  <si>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</si>
  <si>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</si>
  <si>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</si>
  <si>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</si>
  <si>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</si>
  <si>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</si>
  <si>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</si>
  <si>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</si>
  <si>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</si>
  <si>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</si>
  <si>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TALENTO HUMANO</t>
  </si>
  <si>
    <t>Product Owner</t>
  </si>
  <si>
    <t>1 persona x 6 meses - salario mensual $5.000.000</t>
  </si>
  <si>
    <t>No Iniciado</t>
  </si>
  <si>
    <t>Scrum Master</t>
  </si>
  <si>
    <t>1 persona x 6 meses - salario mensual $4.000.000</t>
  </si>
  <si>
    <t>Developers</t>
  </si>
  <si>
    <t>3 personas x 6 meses - salario mensual $4.500.000 c/u</t>
  </si>
  <si>
    <t>SUBTOTAL</t>
  </si>
  <si>
    <t>Computadores portátiles</t>
  </si>
  <si>
    <t>5 unidades x $3.500.000 c/u</t>
  </si>
  <si>
    <t>Celulares para pruebas Android</t>
  </si>
  <si>
    <t>2 unidades x $1.200.000 c/u</t>
  </si>
  <si>
    <t>iPhone para pruebas iOS</t>
  </si>
  <si>
    <t>1 unidad x $3.000.000</t>
  </si>
  <si>
    <t>Router / equipo de red</t>
  </si>
  <si>
    <t>1 unidad x $400.000</t>
  </si>
  <si>
    <t>Accesorios y periféricos</t>
  </si>
  <si>
    <t>5 unidades x $300.000 c/u</t>
  </si>
  <si>
    <t>SOFTWARE Y HERRAMIENTAS</t>
  </si>
  <si>
    <t>Herramientas de desarrollo</t>
  </si>
  <si>
    <t>5 usuarios x 6 meses</t>
  </si>
  <si>
    <t>Herramientas de diseño UI/UX</t>
  </si>
  <si>
    <t>2 usuarios x 6 meses</t>
  </si>
  <si>
    <t>Herramientas de gestión del proyecto</t>
  </si>
  <si>
    <t>Herramientas de pruebas</t>
  </si>
  <si>
    <t>Software de seguridad</t>
  </si>
  <si>
    <t>INFRAESTRUCTURA CLOUD</t>
  </si>
  <si>
    <t>Servidor / Cloud</t>
  </si>
  <si>
    <t>6 meses</t>
  </si>
  <si>
    <t>Base de datos</t>
  </si>
  <si>
    <t>Almacenamiento</t>
  </si>
  <si>
    <t>Servicio de autenticación</t>
  </si>
  <si>
    <t>Servicio de notificaciones</t>
  </si>
  <si>
    <t>CDN / distribución de contenido</t>
  </si>
  <si>
    <t>Copias de seguridad</t>
  </si>
  <si>
    <t>INTELIGENCIA ARTIFICIAL / CHATBOT</t>
  </si>
  <si>
    <t>API / modelo de IA</t>
  </si>
  <si>
    <t>Base de conocimiento</t>
  </si>
  <si>
    <t>Proyecto</t>
  </si>
  <si>
    <t>Procesamiento de información</t>
  </si>
  <si>
    <t>Pruebas y entrenamiento</t>
  </si>
  <si>
    <t>DISEÑO Y DESARROLLO</t>
  </si>
  <si>
    <t>Análisis de requerimientos</t>
  </si>
  <si>
    <t>Documentar requerimientos funcionales y no funcionales</t>
  </si>
  <si>
    <t>Diseño de arquitectura</t>
  </si>
  <si>
    <t>Definir arquitectura técnica del sistema</t>
  </si>
  <si>
    <t>Diseño UI/UX</t>
  </si>
  <si>
    <t>Diseño de interfaces y experiencia de usuario</t>
  </si>
  <si>
    <t>Desarrollo aplicación móvil</t>
  </si>
  <si>
    <t>Desarrollo del frontend de la aplicación móvil</t>
  </si>
  <si>
    <t>Desarrollo Backend/API</t>
  </si>
  <si>
    <t>Desarrollo de servicios backend y API REST</t>
  </si>
  <si>
    <t>Integración de servicios</t>
  </si>
  <si>
    <t>Integración de módulos y servicios externos</t>
  </si>
  <si>
    <t>Diseño e implementación de la base de datos</t>
  </si>
  <si>
    <t>PRUEBAS Y CALIDAD</t>
  </si>
  <si>
    <t>Pruebas funcionales</t>
  </si>
  <si>
    <t>Validación de funcionalidades del sistema</t>
  </si>
  <si>
    <t>Pruebas de rendimiento</t>
  </si>
  <si>
    <t>Pruebas de carga y rendimiento</t>
  </si>
  <si>
    <t>Pruebas de seguridad</t>
  </si>
  <si>
    <t>Auditoría y pruebas de seguridad</t>
  </si>
  <si>
    <t>Pruebas en dispositivos</t>
  </si>
  <si>
    <t>Pruebas en distintos dispositivos y SO</t>
  </si>
  <si>
    <t>Corrección de errores</t>
  </si>
  <si>
    <t>Corrección de bugs detectados en pruebas</t>
  </si>
  <si>
    <t>PUBLICACIÓN</t>
  </si>
  <si>
    <t>Cuenta desarrollador Google Play</t>
  </si>
  <si>
    <t>Registro de cuenta de desarrollador</t>
  </si>
  <si>
    <t>Cuenta Apple Developer</t>
  </si>
  <si>
    <t>Preparación de publicación</t>
  </si>
  <si>
    <t>Preparar ficha técnica y metadatos de la app</t>
  </si>
  <si>
    <t>Diseño de material para tiendas</t>
  </si>
  <si>
    <t>Diseño de capturas y material gráfico</t>
  </si>
  <si>
    <t>COSTOS ADMINISTRATIVOS E INDIRECTOS</t>
  </si>
  <si>
    <t>Internet</t>
  </si>
  <si>
    <t>Gasto fijo mensual del proyecto</t>
  </si>
  <si>
    <t>Electricidad</t>
  </si>
  <si>
    <t>Espacio de trabajo</t>
  </si>
  <si>
    <t>Papelería / documentación</t>
  </si>
  <si>
    <t>Reuniones y desplazamientos</t>
  </si>
  <si>
    <t>Desplazamientos y reuniones del equipo</t>
  </si>
  <si>
    <t>Administración</t>
  </si>
  <si>
    <t>Gasto administrativo del proyecto</t>
  </si>
  <si>
    <t>listas desplegables</t>
  </si>
  <si>
    <t>SI / NO</t>
  </si>
  <si>
    <t>PRIORIDAD</t>
  </si>
  <si>
    <t>Si</t>
  </si>
  <si>
    <t>Baja</t>
  </si>
  <si>
    <t>No</t>
  </si>
  <si>
    <t>Media</t>
  </si>
  <si>
    <t>En Progreso</t>
  </si>
  <si>
    <t>Alta</t>
  </si>
  <si>
    <t>Completo</t>
  </si>
  <si>
    <t>Requiere Revisión</t>
  </si>
  <si>
    <t>Aprobado</t>
  </si>
  <si>
    <t>Atrasado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</si>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</sst>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;@"/>
    <numFmt numFmtId="165" formatCode="0.0"/>
    <numFmt numFmtId="166" formatCode="\$#,##0.00_);&quot;($&quot;#,##0.00\)"/>
    <numFmt numFmtId="167" formatCode="\$#,##0_);&quot;($&quot;#,##0\)"/>
    <numFmt numFmtId="168" formatCode="_(\$* #,##0_);_(\$* \(#,##0\);_(\$* \-??_);_(@_)"/>
    <numFmt numFmtId="169" formatCode="_(* #,##0.00_);_(* \(#,##0.00\);_(* \-??_);_(@_)"/>
  </numFmts>
  <fonts count="16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Century Gothic"/>
      <family val="1"/>
      <charset val="1"/>
    </font>
    <font>
      <b/>
      <sz val="24"/>
      <color theme="1" tint="0.3498947111423078"/>
      <name val="Century Gothic"/>
      <family val="1"/>
      <charset val="1"/>
    </font>
    <font>
      <b/>
      <sz val="22"/>
      <color theme="1" tint="0.3498947111423078"/>
      <name val="Century Gothic"/>
      <family val="1"/>
      <charset val="1"/>
    </font>
    <font>
      <b/>
      <sz val="20"/>
      <color theme="0" tint="-0.499984740745262"/>
      <name val="Century Gothic"/>
      <family val="1"/>
      <charset val="1"/>
    </font>
    <font>
      <sz val="12"/>
      <color theme="1" tint="0.3498947111423078"/>
      <name val="Century Gothic"/>
      <family val="1"/>
      <charset val="1"/>
    </font>
    <font>
      <b/>
      <sz val="10"/>
      <color theme="0"/>
      <name val="Century Gothic"/>
      <family val="2"/>
      <charset val="1"/>
    </font>
    <font>
      <sz val="10"/>
      <name val="Century Gothic"/>
      <family val="1"/>
      <charset val="1"/>
    </font>
    <font>
      <sz val="10"/>
      <color theme="0"/>
      <name val="Century Gothic"/>
      <family val="1"/>
      <charset val="1"/>
    </font>
    <font>
      <sz val="10"/>
      <name val="Century Gothic"/>
      <family val="2"/>
      <charset val="1"/>
    </font>
    <font>
      <b/>
      <sz val="10"/>
      <name val="Century Gothic"/>
      <family val="1"/>
      <charset val="1"/>
    </font>
    <font>
      <sz val="22"/>
      <color theme="1" tint="0.3498947111423078"/>
      <name val="Century Gothic"/>
      <family val="1"/>
      <charset val="1"/>
    </font>
    <font>
      <b/>
      <sz val="10"/>
      <color theme="1"/>
      <name val="Century Gothic"/>
      <family val="1"/>
      <charset val="1"/>
    </font>
    <font>
      <sz val="10"/>
      <color rgb="FF000000"/>
      <name val="Century Gothic"/>
      <family val="1"/>
      <charset val="1"/>
    </font>
    <font>
      <sz val="11"/>
      <color rgb="FF000000"/>
      <name val="Century Gothic"/>
      <family val="1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 tint="0.3498947111423078"/>
        <bgColor rgb="FF44546A"/>
      </patternFill>
    </fill>
    <fill>
      <patternFill patternType="solid">
        <fgColor theme="3" tint="-0.249977111117893"/>
        <bgColor rgb="FF44546A"/>
      </patternFill>
    </fill>
    <fill>
      <patternFill patternType="solid">
        <fgColor theme="4" tint="0.79989013336588644"/>
        <bgColor rgb="FFD9D9D9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theme="3"/>
        <bgColor rgb="FF595959"/>
      </patternFill>
    </fill>
    <fill>
      <patternFill patternType="solid">
        <fgColor rgb="FFFFF2CC"/>
        <bgColor rgb="FFF2F2F2"/>
      </patternFill>
    </fill>
    <fill>
      <patternFill patternType="solid">
        <fgColor rgb="FFB6FBF5"/>
        <bgColor rgb="FFABEFEA"/>
      </patternFill>
    </fill>
    <fill>
      <patternFill patternType="solid">
        <fgColor rgb="FF00EAF0"/>
        <bgColor rgb="FF00FFFF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6A6A6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3C25B"/>
      </patternFill>
    </fill>
    <fill>
      <patternFill patternType="solid">
        <fgColor rgb="FFABEFEA"/>
        <bgColor rgb="FFB6FBF5"/>
      </patternFill>
    </fill>
    <fill>
      <patternFill patternType="solid">
        <fgColor rgb="FF5EE9E7"/>
        <bgColor rgb="FFABEFEA"/>
      </patternFill>
    </fill>
    <fill>
      <patternFill patternType="solid">
        <fgColor theme="7" tint="0.39988402966399123"/>
        <bgColor rgb="FFFFF2CC"/>
      </patternFill>
    </fill>
  </fills>
  <borders count="16">
    <border>
      <left/>
      <right/>
      <top/>
      <bottom/>
      <diagonal/>
    </border>
    <border>
      <left/>
      <right style="dashed">
        <color theme="0" tint="-0.34998626667073579"/>
      </right>
      <top/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double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34998626667073579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theme="0" tint="-0.34998626667073579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ashed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 indent="1"/>
    </xf>
    <xf numFmtId="0" fontId="6" fillId="2" borderId="0" xfId="0" applyFont="1" applyFill="1" applyAlignment="1">
      <alignment vertical="center"/>
    </xf>
    <xf numFmtId="0" fontId="6" fillId="2" borderId="1" xfId="0" applyFont="1" applyFill="1" applyBorder="1" applyAlignment="1">
      <alignment vertical="center"/>
    </xf>
    <xf numFmtId="0" fontId="2" fillId="0" borderId="0" xfId="0" applyFont="1" applyAlignment="1">
      <alignment horizontal="left" vertical="center" wrapText="1" indent="1"/>
    </xf>
    <xf numFmtId="0" fontId="7" fillId="4" borderId="6" xfId="0" applyFont="1" applyFill="1" applyBorder="1" applyAlignment="1">
      <alignment horizontal="left" vertical="center" wrapText="1" inden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left" vertical="center" wrapText="1" indent="1"/>
    </xf>
    <xf numFmtId="164" fontId="2" fillId="5" borderId="9" xfId="0" applyNumberFormat="1" applyFont="1" applyFill="1" applyBorder="1" applyAlignment="1">
      <alignment horizontal="left" vertical="center" wrapText="1" indent="1"/>
    </xf>
    <xf numFmtId="164" fontId="2" fillId="5" borderId="14" xfId="0" applyNumberFormat="1" applyFont="1" applyFill="1" applyBorder="1" applyAlignment="1">
      <alignment horizontal="left" vertical="center" wrapText="1" indent="1"/>
    </xf>
    <xf numFmtId="0" fontId="2" fillId="5" borderId="8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0" borderId="9" xfId="0" applyFont="1" applyBorder="1" applyAlignment="1" applyProtection="1">
      <alignment horizontal="left" vertical="center" wrapText="1" indent="1"/>
      <protection locked="0"/>
    </xf>
    <xf numFmtId="0" fontId="2" fillId="2" borderId="9" xfId="0" applyFont="1" applyFill="1" applyBorder="1" applyAlignment="1">
      <alignment horizontal="left" vertical="center" wrapText="1" indent="1"/>
    </xf>
    <xf numFmtId="164" fontId="2" fillId="0" borderId="9" xfId="0" applyNumberFormat="1" applyFont="1" applyBorder="1" applyAlignment="1" applyProtection="1">
      <alignment horizontal="left" vertical="center" wrapText="1" indent="1"/>
      <protection locked="0"/>
    </xf>
    <xf numFmtId="164" fontId="2" fillId="0" borderId="14" xfId="0" applyNumberFormat="1" applyFont="1" applyBorder="1" applyAlignment="1" applyProtection="1">
      <alignment horizontal="left" vertical="center" wrapText="1" indent="1"/>
      <protection locked="0"/>
    </xf>
    <xf numFmtId="165" fontId="8" fillId="0" borderId="8" xfId="0" applyNumberFormat="1" applyFont="1" applyBorder="1" applyAlignment="1" applyProtection="1">
      <alignment horizontal="center" vertical="center"/>
      <protection locked="0"/>
    </xf>
    <xf numFmtId="166" fontId="8" fillId="0" borderId="9" xfId="0" applyNumberFormat="1" applyFont="1" applyBorder="1" applyAlignment="1" applyProtection="1">
      <alignment horizontal="right" vertical="center"/>
      <protection locked="0"/>
    </xf>
    <xf numFmtId="167" fontId="8" fillId="5" borderId="9" xfId="0" applyNumberFormat="1" applyFont="1" applyFill="1" applyBorder="1" applyAlignment="1" applyProtection="1">
      <alignment horizontal="right" vertical="center"/>
      <protection locked="0"/>
    </xf>
    <xf numFmtId="165" fontId="8" fillId="0" borderId="9" xfId="0" applyNumberFormat="1" applyFont="1" applyBorder="1" applyAlignment="1" applyProtection="1">
      <alignment horizontal="center" vertical="center"/>
      <protection locked="0"/>
    </xf>
    <xf numFmtId="167" fontId="8" fillId="0" borderId="9" xfId="0" applyNumberFormat="1" applyFont="1" applyBorder="1" applyAlignment="1" applyProtection="1">
      <alignment horizontal="right" vertical="center"/>
      <protection locked="0"/>
    </xf>
    <xf numFmtId="167" fontId="8" fillId="0" borderId="10" xfId="0" applyNumberFormat="1" applyFont="1" applyBorder="1" applyAlignment="1" applyProtection="1">
      <alignment vertical="center"/>
      <protection locked="0"/>
    </xf>
    <xf numFmtId="168" fontId="2" fillId="0" borderId="11" xfId="0" applyNumberFormat="1" applyFont="1" applyBorder="1" applyAlignment="1">
      <alignment vertical="center"/>
    </xf>
    <xf numFmtId="168" fontId="8" fillId="6" borderId="12" xfId="0" applyNumberFormat="1" applyFont="1" applyFill="1" applyBorder="1" applyAlignment="1" applyProtection="1">
      <alignment horizontal="left" vertical="center"/>
      <protection locked="0"/>
    </xf>
    <xf numFmtId="168" fontId="2" fillId="7" borderId="12" xfId="0" applyNumberFormat="1" applyFont="1" applyFill="1" applyBorder="1" applyAlignment="1">
      <alignment horizontal="left" vertical="center"/>
    </xf>
    <xf numFmtId="0" fontId="7" fillId="8" borderId="9" xfId="0" applyFont="1" applyFill="1" applyBorder="1" applyAlignment="1">
      <alignment horizontal="left" vertical="center" wrapText="1" indent="1"/>
    </xf>
    <xf numFmtId="0" fontId="9" fillId="8" borderId="9" xfId="0" applyFont="1" applyFill="1" applyBorder="1" applyAlignment="1">
      <alignment horizontal="left" vertical="center" wrapText="1" indent="1"/>
    </xf>
    <xf numFmtId="164" fontId="7" fillId="8" borderId="9" xfId="0" applyNumberFormat="1" applyFont="1" applyFill="1" applyBorder="1" applyAlignment="1">
      <alignment horizontal="left" vertical="center" wrapText="1" indent="1"/>
    </xf>
    <xf numFmtId="164" fontId="7" fillId="8" borderId="14" xfId="0" applyNumberFormat="1" applyFont="1" applyFill="1" applyBorder="1" applyAlignment="1">
      <alignment horizontal="left" vertical="center" wrapText="1" indent="1"/>
    </xf>
    <xf numFmtId="165" fontId="10" fillId="8" borderId="8" xfId="0" applyNumberFormat="1" applyFont="1" applyFill="1" applyBorder="1" applyAlignment="1" applyProtection="1">
      <alignment horizontal="left" vertical="center"/>
      <protection locked="0"/>
    </xf>
    <xf numFmtId="166" fontId="7" fillId="8" borderId="9" xfId="0" applyNumberFormat="1" applyFont="1" applyFill="1" applyBorder="1" applyAlignment="1" applyProtection="1">
      <alignment vertical="center"/>
      <protection locked="0"/>
    </xf>
    <xf numFmtId="167" fontId="7" fillId="8" borderId="9" xfId="0" applyNumberFormat="1" applyFont="1" applyFill="1" applyBorder="1" applyAlignment="1" applyProtection="1">
      <alignment vertical="center"/>
      <protection locked="0"/>
    </xf>
    <xf numFmtId="167" fontId="7" fillId="8" borderId="10" xfId="0" applyNumberFormat="1" applyFont="1" applyFill="1" applyBorder="1" applyAlignment="1" applyProtection="1">
      <alignment vertical="center"/>
      <protection locked="0"/>
    </xf>
    <xf numFmtId="168" fontId="7" fillId="8" borderId="11" xfId="0" applyNumberFormat="1" applyFont="1" applyFill="1" applyBorder="1" applyAlignment="1">
      <alignment vertical="center"/>
    </xf>
    <xf numFmtId="168" fontId="7" fillId="8" borderId="12" xfId="0" applyNumberFormat="1" applyFont="1" applyFill="1" applyBorder="1" applyAlignment="1" applyProtection="1">
      <alignment vertical="center"/>
      <protection locked="0"/>
    </xf>
    <xf numFmtId="0" fontId="9" fillId="2" borderId="0" xfId="0" applyFont="1" applyFill="1" applyAlignment="1">
      <alignment horizontal="left" vertical="center" wrapText="1" indent="1"/>
    </xf>
    <xf numFmtId="165" fontId="8" fillId="2" borderId="0" xfId="0" applyNumberFormat="1" applyFont="1" applyFill="1" applyAlignment="1" applyProtection="1">
      <alignment horizontal="left" vertical="center" wrapText="1" indent="1"/>
      <protection locked="0"/>
    </xf>
    <xf numFmtId="166" fontId="8" fillId="2" borderId="0" xfId="0" applyNumberFormat="1" applyFont="1" applyFill="1" applyAlignment="1" applyProtection="1">
      <alignment horizontal="left" vertical="center" wrapText="1" indent="1"/>
      <protection locked="0"/>
    </xf>
    <xf numFmtId="169" fontId="8" fillId="2" borderId="0" xfId="0" applyNumberFormat="1" applyFont="1" applyFill="1" applyAlignment="1">
      <alignment horizontal="left" vertical="center" wrapText="1" indent="1"/>
    </xf>
    <xf numFmtId="169" fontId="11" fillId="2" borderId="0" xfId="0" applyNumberFormat="1" applyFont="1" applyFill="1" applyAlignment="1" applyProtection="1">
      <alignment horizontal="left" vertical="center" wrapText="1" indent="1"/>
      <protection locked="0"/>
    </xf>
    <xf numFmtId="0" fontId="12" fillId="2" borderId="0" xfId="0" applyFont="1" applyFill="1" applyAlignment="1">
      <alignment vertical="center"/>
    </xf>
    <xf numFmtId="0" fontId="13" fillId="7" borderId="15" xfId="0" applyFont="1" applyFill="1" applyBorder="1" applyAlignment="1">
      <alignment horizontal="center" vertical="center" wrapText="1"/>
    </xf>
    <xf numFmtId="0" fontId="14" fillId="10" borderId="9" xfId="0" applyFont="1" applyFill="1" applyBorder="1" applyAlignment="1">
      <alignment horizontal="center" vertical="center"/>
    </xf>
    <xf numFmtId="0" fontId="14" fillId="11" borderId="9" xfId="0" applyFont="1" applyFill="1" applyBorder="1" applyAlignment="1">
      <alignment horizontal="left" vertical="center" indent="1"/>
    </xf>
    <xf numFmtId="0" fontId="2" fillId="9" borderId="9" xfId="0" applyFont="1" applyFill="1" applyBorder="1" applyAlignment="1">
      <alignment horizontal="left" vertical="center" wrapText="1" indent="1"/>
    </xf>
    <xf numFmtId="0" fontId="14" fillId="7" borderId="9" xfId="0" applyFont="1" applyFill="1" applyBorder="1" applyAlignment="1">
      <alignment horizontal="center" vertical="center"/>
    </xf>
    <xf numFmtId="0" fontId="14" fillId="12" borderId="9" xfId="0" applyFont="1" applyFill="1" applyBorder="1" applyAlignment="1">
      <alignment horizontal="left" vertical="center" indent="1"/>
    </xf>
    <xf numFmtId="0" fontId="14" fillId="13" borderId="9" xfId="0" applyFont="1" applyFill="1" applyBorder="1" applyAlignment="1">
      <alignment horizontal="left" vertical="center" wrapText="1" indent="1" readingOrder="1"/>
    </xf>
    <xf numFmtId="0" fontId="14" fillId="14" borderId="9" xfId="0" applyFont="1" applyFill="1" applyBorder="1" applyAlignment="1">
      <alignment horizontal="left" vertical="center" indent="1"/>
    </xf>
    <xf numFmtId="0" fontId="14" fillId="15" borderId="9" xfId="0" applyFont="1" applyFill="1" applyBorder="1" applyAlignment="1">
      <alignment horizontal="left" vertical="center" wrapText="1" indent="1" readingOrder="1"/>
    </xf>
    <xf numFmtId="0" fontId="15" fillId="0" borderId="0" xfId="0" applyFont="1"/>
    <xf numFmtId="0" fontId="2" fillId="16" borderId="9" xfId="0" applyFont="1" applyFill="1" applyBorder="1" applyAlignment="1">
      <alignment horizontal="left" vertical="center" wrapText="1" indent="1"/>
    </xf>
    <xf numFmtId="0" fontId="2" fillId="17" borderId="9" xfId="0" applyFont="1" applyFill="1" applyBorder="1" applyAlignment="1">
      <alignment horizontal="left" vertical="center" wrapText="1" indent="1"/>
    </xf>
    <xf numFmtId="0" fontId="2" fillId="18" borderId="9" xfId="0" applyFont="1" applyFill="1" applyBorder="1" applyAlignment="1">
      <alignment horizontal="left" vertical="center" wrapText="1" indent="1"/>
    </xf>
    <xf numFmtId="0" fontId="2" fillId="7" borderId="9" xfId="0" applyFont="1" applyFill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6000000}"/>
  </cellStyles>
  <dxfs count="87"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03C25B"/>
        </patternFill>
      </fill>
    </dxf>
    <dxf>
      <fill>
        <patternFill>
          <bgColor theme="7" tint="0.39988402966399123"/>
        </patternFill>
      </fill>
    </dxf>
    <dxf>
      <fill>
        <patternFill>
          <bgColor theme="0" tint="-0.14999847407452621"/>
        </patternFill>
      </fill>
    </dxf>
    <dxf>
      <fill>
        <patternFill>
          <bgColor theme="7" tint="0.79989013336588644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00EAF0"/>
        </patternFill>
      </fill>
    </dxf>
    <dxf>
      <font>
        <color rgb="FF000000"/>
      </font>
      <fill>
        <patternFill>
          <bgColor rgb="FFE7FFCA"/>
        </patternFill>
      </fill>
    </dxf>
    <dxf>
      <font>
        <color rgb="FF600000"/>
      </font>
      <fill>
        <patternFill>
          <bgColor rgb="FFFF927C"/>
        </patternFill>
      </fill>
    </dxf>
    <dxf>
      <font>
        <color rgb="FF000000"/>
      </font>
      <fill>
        <patternFill>
          <bgColor rgb="FF92D050"/>
        </patternFill>
      </fill>
    </dxf>
    <dxf>
      <fill>
        <patternFill>
          <bgColor theme="7" tint="0.39988402966399123"/>
        </patternFill>
      </fill>
    </dxf>
    <dxf>
      <fill>
        <patternFill>
          <bgColor theme="0" tint="-0.14999847407452621"/>
        </patternFill>
      </fill>
    </dxf>
    <dxf>
      <fill>
        <patternFill>
          <bgColor theme="7" tint="0.79989013336588644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ABEFEA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249977111117893"/>
        </patternFill>
      </fill>
    </dxf>
    <dxf>
      <fill>
        <patternFill>
          <bgColor rgb="FF5EE9E7"/>
        </patternFill>
      </fill>
    </dxf>
    <dxf>
      <font>
        <color rgb="FF000000"/>
      </font>
      <fill>
        <patternFill>
          <bgColor rgb="FF03C25B"/>
        </patternFill>
      </fill>
    </dxf>
    <dxf>
      <fill>
        <patternFill>
          <bgColor rgb="FFFFF2CC"/>
        </patternFill>
      </fill>
    </dxf>
    <dxf>
      <fill>
        <patternFill>
          <bgColor rgb="FF5EE9E7"/>
        </patternFill>
      </fill>
    </dxf>
    <dxf>
      <fill>
        <patternFill>
          <bgColor rgb="FFABEFEA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249977111117893"/>
        </patternFill>
      </fill>
    </dxf>
    <dxf>
      <fill>
        <patternFill>
          <bgColor rgb="FF5EE9E7"/>
        </patternFill>
      </fill>
    </dxf>
    <dxf>
      <fill>
        <patternFill>
          <bgColor rgb="FFFFF2CC"/>
        </patternFill>
      </fill>
    </dxf>
    <dxf>
      <fill>
        <patternFill>
          <bgColor rgb="FF00B05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03C25B"/>
        </patternFill>
      </fill>
    </dxf>
    <dxf>
      <fill>
        <patternFill>
          <bgColor theme="7" tint="0.39988402966399123"/>
        </patternFill>
      </fill>
    </dxf>
    <dxf>
      <fill>
        <patternFill>
          <bgColor theme="0" tint="-0.14999847407452621"/>
        </patternFill>
      </fill>
    </dxf>
    <dxf>
      <fill>
        <patternFill>
          <bgColor theme="7" tint="0.79989013336588644"/>
        </patternFill>
      </fill>
    </dxf>
    <dxf>
      <fill>
        <patternFill>
          <bgColor rgb="FFABEFEA"/>
        </patternFill>
      </fill>
    </dxf>
    <dxf>
      <fill>
        <patternFill>
          <bgColor rgb="FF92D050"/>
        </patternFill>
      </fill>
    </dxf>
    <dxf>
      <fill>
        <patternFill>
          <bgColor rgb="FF5EE9E7"/>
        </patternFill>
      </fill>
    </dxf>
    <dxf>
      <fill>
        <patternFill>
          <bgColor theme="0" tint="-0.249977111117893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ABEFEA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5EE9E7"/>
        </patternFill>
      </fill>
    </dxf>
    <dxf>
      <fill>
        <patternFill>
          <bgColor rgb="FFABEFEA"/>
        </patternFill>
      </fill>
    </dxf>
    <dxf>
      <fill>
        <patternFill>
          <bgColor theme="7" tint="0.79989013336588644"/>
        </patternFill>
      </fill>
    </dxf>
    <dxf>
      <fill>
        <patternFill>
          <bgColor theme="0" tint="-0.14999847407452621"/>
        </patternFill>
      </fill>
    </dxf>
    <dxf>
      <fill>
        <patternFill>
          <bgColor theme="7" tint="0.39988402966399123"/>
        </patternFill>
      </fill>
    </dxf>
    <dxf>
      <font>
        <color rgb="FF000000"/>
      </font>
      <fill>
        <patternFill>
          <bgColor rgb="FF03C25B"/>
        </patternFill>
      </fill>
    </dxf>
    <dxf>
      <fill>
        <patternFill>
          <bgColor rgb="FFFFF2CC"/>
        </patternFill>
      </fill>
    </dxf>
    <dxf>
      <font>
        <color rgb="FF000000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ABEFEA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249977111117893"/>
        </patternFill>
      </fill>
    </dxf>
    <dxf>
      <fill>
        <patternFill>
          <bgColor rgb="FF5EE9E7"/>
        </patternFill>
      </fill>
    </dxf>
    <dxf>
      <fill>
        <patternFill>
          <bgColor rgb="FF00B050"/>
        </patternFill>
      </fill>
    </dxf>
    <dxf>
      <fill>
        <patternFill>
          <bgColor rgb="FFFFF2CC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03C25B"/>
        </patternFill>
      </fill>
    </dxf>
    <dxf>
      <fill>
        <patternFill>
          <bgColor theme="7" tint="0.39988402966399123"/>
        </patternFill>
      </fill>
    </dxf>
    <dxf>
      <fill>
        <patternFill>
          <bgColor theme="0" tint="-0.14999847407452621"/>
        </patternFill>
      </fill>
    </dxf>
    <dxf>
      <fill>
        <patternFill>
          <bgColor theme="7" tint="0.79989013336588644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rgb="FF5EE9E7"/>
        </patternFill>
      </fill>
    </dxf>
    <dxf>
      <fill>
        <patternFill>
          <bgColor theme="0" tint="-0.249977111117893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ABEFEA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2CC"/>
        </patternFill>
      </fill>
    </dxf>
    <dxf>
      <fill>
        <patternFill>
          <bgColor rgb="FF5EE9E7"/>
        </patternFill>
      </fill>
    </dxf>
    <dxf>
      <fill>
        <patternFill>
          <bgColor rgb="FFABEFEA"/>
        </patternFill>
      </fill>
    </dxf>
    <dxf>
      <fill>
        <patternFill>
          <bgColor theme="7" tint="0.79989013336588644"/>
        </patternFill>
      </fill>
    </dxf>
    <dxf>
      <fill>
        <patternFill>
          <bgColor theme="0" tint="-0.14999847407452621"/>
        </patternFill>
      </fill>
    </dxf>
    <dxf>
      <fill>
        <patternFill>
          <bgColor theme="7" tint="0.39988402966399123"/>
        </patternFill>
      </fill>
    </dxf>
    <dxf>
      <font>
        <color rgb="FF000000"/>
      </font>
      <fill>
        <patternFill>
          <bgColor rgb="FF03C25B"/>
        </patternFill>
      </fill>
    </dxf>
    <dxf>
      <font>
        <color rgb="FF000000"/>
      </font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EAF0"/>
      <rgbColor rgb="FF600000"/>
      <rgbColor rgb="FF008000"/>
      <rgbColor rgb="FF000080"/>
      <rgbColor rgb="FF808000"/>
      <rgbColor rgb="FF800080"/>
      <rgbColor rgb="FF03C25B"/>
      <rgbColor rgb="FFBFBFBF"/>
      <rgbColor rgb="FF808080"/>
      <rgbColor rgb="FF9999FF"/>
      <rgbColor rgb="FF993366"/>
      <rgbColor rgb="FFFFF2CC"/>
      <rgbColor rgb="FFB6FBF5"/>
      <rgbColor rgb="FF660066"/>
      <rgbColor rgb="FFFF927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ABEFEA"/>
      <rgbColor rgb="FFE7FFCA"/>
      <rgbColor rgb="FFF2F2F2"/>
      <rgbColor rgb="FFADB9CA"/>
      <rgbColor rgb="FFFF99CC"/>
      <rgbColor rgb="FFDAE3F3"/>
      <rgbColor rgb="FFFFD966"/>
      <rgbColor rgb="FF4472C4"/>
      <rgbColor rgb="FF5EE9E7"/>
      <rgbColor rgb="FF92D050"/>
      <rgbColor rgb="FFFFC000"/>
      <rgbColor rgb="FFFF9900"/>
      <rgbColor rgb="FFFF6600"/>
      <rgbColor rgb="FF595959"/>
      <rgbColor rgb="FFA6A6A6"/>
      <rgbColor rgb="FF003366"/>
      <rgbColor rgb="FF00B050"/>
      <rgbColor rgb="FF003300"/>
      <rgbColor rgb="FF333300"/>
      <rgbColor rgb="FF993300"/>
      <rgbColor rgb="FF993366"/>
      <rgbColor rgb="FF44546A"/>
      <rgbColor rgb="FF333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DB9CA"/>
    <pageSetUpPr fitToPage="1"/>
  </sheetPr>
  <dimension ref="A1:AO382"/>
  <sheetViews>
    <sheetView showGridLines="0" tabSelected="1" topLeftCell="A78" zoomScaleNormal="100" workbookViewId="0">
      <selection activeCell="B90" sqref="B90"/>
    </sheetView>
  </sheetViews>
  <sheetFormatPr defaultColWidth="10.97265625" defaultRowHeight="12.75" x14ac:dyDescent="0.15"/>
  <cols>
    <col min="1" max="1" width="3.08203125" style="1" customWidth="1"/>
    <col min="2" max="2" width="25.6484375" style="1" customWidth="1"/>
    <col min="3" max="3" width="25.89453125" style="1" bestFit="1" customWidth="1"/>
    <col min="4" max="4" width="12.82421875" style="1" customWidth="1"/>
    <col min="5" max="7" width="11.58984375" style="1" customWidth="1"/>
    <col min="8" max="8" width="8.875" style="1" customWidth="1"/>
    <col min="9" max="9" width="9.98828125" style="1" customWidth="1"/>
    <col min="10" max="10" width="11.8359375" style="1" customWidth="1"/>
    <col min="11" max="11" width="8.875" style="1" customWidth="1"/>
    <col min="12" max="12" width="11.9609375" style="1" bestFit="1" customWidth="1"/>
    <col min="13" max="16" width="11.8359375" style="1" customWidth="1"/>
    <col min="17" max="18" width="12.82421875" style="1" customWidth="1"/>
    <col min="19" max="19" width="18.25" style="1" bestFit="1" customWidth="1"/>
    <col min="20" max="20" width="3.08203125" style="1" customWidth="1"/>
    <col min="21" max="16384" width="10.97265625" style="1"/>
  </cols>
  <sheetData>
    <row r="1" spans="1:41" ht="45" customHeight="1" x14ac:dyDescent="0.15">
      <c r="A1" s="2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5"/>
      <c r="Q1" s="5"/>
      <c r="R1" s="5"/>
      <c r="S1" s="5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s="9" customFormat="1" ht="34.5" customHeight="1" x14ac:dyDescent="0.2">
      <c r="A2" s="6"/>
      <c r="B2" s="7" t="s">
        <v>1</v>
      </c>
      <c r="C2" s="7"/>
      <c r="D2" s="7"/>
      <c r="E2" s="7"/>
      <c r="F2" s="7"/>
      <c r="G2" s="8"/>
      <c r="H2" s="71" t="s">
        <v>2</v>
      </c>
      <c r="I2" s="71"/>
      <c r="J2" s="71"/>
      <c r="K2" s="72" t="s">
        <v>3</v>
      </c>
      <c r="L2" s="72"/>
      <c r="M2" s="72"/>
      <c r="N2" s="73" t="s">
        <v>4</v>
      </c>
      <c r="O2" s="73"/>
      <c r="P2" s="73"/>
      <c r="Q2" s="74" t="s">
        <v>5</v>
      </c>
      <c r="R2" s="74"/>
      <c r="S2" s="74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s="9" customFormat="1" ht="34.5" customHeight="1" x14ac:dyDescent="0.15">
      <c r="A3" s="6"/>
      <c r="B3" s="10" t="s">
        <v>6</v>
      </c>
      <c r="C3" s="10" t="s">
        <v>7</v>
      </c>
      <c r="D3" s="10" t="s">
        <v>8</v>
      </c>
      <c r="E3" s="11" t="s">
        <v>9</v>
      </c>
      <c r="F3" s="11" t="s">
        <v>10</v>
      </c>
      <c r="G3" s="12" t="s">
        <v>11</v>
      </c>
      <c r="H3" s="13" t="s">
        <v>12</v>
      </c>
      <c r="I3" s="14" t="s">
        <v>13</v>
      </c>
      <c r="J3" s="14" t="s">
        <v>14</v>
      </c>
      <c r="K3" s="11" t="s">
        <v>15</v>
      </c>
      <c r="L3" s="11" t="s">
        <v>16</v>
      </c>
      <c r="M3" s="11" t="s">
        <v>17</v>
      </c>
      <c r="N3" s="11" t="s">
        <v>18</v>
      </c>
      <c r="O3" s="11" t="s">
        <v>19</v>
      </c>
      <c r="P3" s="15" t="s">
        <v>20</v>
      </c>
      <c r="Q3" s="16" t="s">
        <v>21</v>
      </c>
      <c r="R3" s="17" t="s">
        <v>22</v>
      </c>
      <c r="S3" s="18" t="s">
        <v>23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spans="1:41" s="9" customFormat="1" ht="30" customHeight="1" x14ac:dyDescent="0.2">
      <c r="A4" s="6"/>
      <c r="B4" s="19" t="s">
        <v>24</v>
      </c>
      <c r="C4" s="19"/>
      <c r="D4" s="19"/>
      <c r="E4" s="20"/>
      <c r="F4" s="20"/>
      <c r="G4" s="21"/>
      <c r="H4" s="22"/>
      <c r="I4" s="23"/>
      <c r="J4" s="23"/>
      <c r="K4" s="23"/>
      <c r="L4" s="23"/>
      <c r="M4" s="23"/>
      <c r="N4" s="23"/>
      <c r="O4" s="23"/>
      <c r="P4" s="24"/>
      <c r="Q4" s="25"/>
      <c r="R4" s="26"/>
      <c r="S4" s="2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1" s="9" customFormat="1" ht="30" customHeight="1" x14ac:dyDescent="0.15">
      <c r="A5" s="6"/>
      <c r="B5" s="27" t="s">
        <v>25</v>
      </c>
      <c r="C5" s="27" t="s">
        <v>26</v>
      </c>
      <c r="D5" s="28" t="s">
        <v>27</v>
      </c>
      <c r="E5" s="29">
        <v>46253</v>
      </c>
      <c r="F5" s="29"/>
      <c r="G5" s="30">
        <v>46341</v>
      </c>
      <c r="H5" s="31">
        <v>500</v>
      </c>
      <c r="I5" s="32">
        <v>60000</v>
      </c>
      <c r="J5" s="33">
        <f t="shared" ref="J5:J7" si="0">H5*I5</f>
        <v>30000000</v>
      </c>
      <c r="K5" s="34"/>
      <c r="L5" s="32"/>
      <c r="M5" s="33">
        <f t="shared" ref="M5:M7" si="1">K5*L5</f>
        <v>0</v>
      </c>
      <c r="N5" s="35"/>
      <c r="O5" s="35"/>
      <c r="P5" s="36"/>
      <c r="Q5" s="37">
        <v>30000000</v>
      </c>
      <c r="R5" s="38">
        <f t="shared" ref="R5:R7" si="2">J5+M5+N5+O5+P5</f>
        <v>30000000</v>
      </c>
      <c r="S5" s="39">
        <f t="shared" ref="S5:S8" si="3">R5-Q5</f>
        <v>0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1" s="9" customFormat="1" ht="30" customHeight="1" x14ac:dyDescent="0.15">
      <c r="A6" s="6"/>
      <c r="B6" s="27" t="s">
        <v>28</v>
      </c>
      <c r="C6" s="27" t="s">
        <v>29</v>
      </c>
      <c r="D6" s="28" t="s">
        <v>27</v>
      </c>
      <c r="E6" s="29">
        <v>46253</v>
      </c>
      <c r="F6" s="29"/>
      <c r="G6" s="30">
        <v>46341</v>
      </c>
      <c r="H6" s="31">
        <v>500</v>
      </c>
      <c r="I6" s="32">
        <v>96000</v>
      </c>
      <c r="J6" s="33">
        <f t="shared" si="0"/>
        <v>48000000</v>
      </c>
      <c r="K6" s="34"/>
      <c r="L6" s="32"/>
      <c r="M6" s="33">
        <f t="shared" si="1"/>
        <v>0</v>
      </c>
      <c r="N6" s="35"/>
      <c r="O6" s="35"/>
      <c r="P6" s="36"/>
      <c r="Q6" s="37">
        <v>48000000</v>
      </c>
      <c r="R6" s="38">
        <f t="shared" si="2"/>
        <v>48000000</v>
      </c>
      <c r="S6" s="39">
        <f t="shared" si="3"/>
        <v>0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spans="1:41" s="9" customFormat="1" ht="30" customHeight="1" x14ac:dyDescent="0.15">
      <c r="A7" s="6"/>
      <c r="B7" s="27" t="s">
        <v>30</v>
      </c>
      <c r="C7" s="27" t="s">
        <v>31</v>
      </c>
      <c r="D7" s="28" t="s">
        <v>27</v>
      </c>
      <c r="E7" s="29">
        <v>46253</v>
      </c>
      <c r="F7" s="29"/>
      <c r="G7" s="30">
        <v>46341</v>
      </c>
      <c r="H7" s="31">
        <v>500</v>
      </c>
      <c r="I7" s="32">
        <v>54000</v>
      </c>
      <c r="J7" s="33">
        <f t="shared" si="0"/>
        <v>27000000</v>
      </c>
      <c r="K7" s="34"/>
      <c r="L7" s="32"/>
      <c r="M7" s="33">
        <f t="shared" si="1"/>
        <v>0</v>
      </c>
      <c r="N7" s="35"/>
      <c r="O7" s="35"/>
      <c r="P7" s="36"/>
      <c r="Q7" s="37">
        <v>27000000</v>
      </c>
      <c r="R7" s="38">
        <f t="shared" si="2"/>
        <v>27000000</v>
      </c>
      <c r="S7" s="39">
        <f t="shared" si="3"/>
        <v>0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spans="1:41" s="9" customFormat="1" ht="30" customHeight="1" x14ac:dyDescent="0.2">
      <c r="A8" s="6"/>
      <c r="B8" s="40" t="s">
        <v>32</v>
      </c>
      <c r="C8" s="40"/>
      <c r="D8" s="41"/>
      <c r="E8" s="42"/>
      <c r="F8" s="42"/>
      <c r="G8" s="43"/>
      <c r="H8" s="44"/>
      <c r="I8" s="45"/>
      <c r="J8" s="46">
        <f>SUM(J5:J7)</f>
        <v>105000000</v>
      </c>
      <c r="K8" s="46"/>
      <c r="L8" s="46"/>
      <c r="M8" s="46">
        <f>SUM(M5:M7)</f>
        <v>0</v>
      </c>
      <c r="N8" s="46">
        <f>SUM(N5:N7)</f>
        <v>0</v>
      </c>
      <c r="O8" s="46">
        <f>SUM(O5:O7)</f>
        <v>0</v>
      </c>
      <c r="P8" s="47">
        <f>SUM(P5:P7)</f>
        <v>0</v>
      </c>
      <c r="Q8" s="48">
        <f>SUM(Q5:Q7)</f>
        <v>105000000</v>
      </c>
      <c r="R8" s="49">
        <f>SUM(J8:P8)</f>
        <v>105000000</v>
      </c>
      <c r="S8" s="49">
        <f t="shared" si="3"/>
        <v>0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s="9" customFormat="1" ht="10.5" customHeight="1" x14ac:dyDescent="0.2">
      <c r="A9" s="6"/>
      <c r="B9" s="50"/>
      <c r="C9" s="50"/>
      <c r="D9" s="50"/>
      <c r="E9" s="50"/>
      <c r="F9" s="50"/>
      <c r="G9" s="50"/>
      <c r="H9" s="51"/>
      <c r="I9" s="52"/>
      <c r="J9" s="52"/>
      <c r="K9" s="51"/>
      <c r="L9" s="52"/>
      <c r="M9" s="52"/>
      <c r="N9" s="51"/>
      <c r="O9" s="51"/>
      <c r="P9" s="52"/>
      <c r="Q9" s="53"/>
      <c r="R9" s="52"/>
      <c r="S9" s="54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spans="1:41" s="9" customFormat="1" ht="34.5" customHeight="1" x14ac:dyDescent="0.2">
      <c r="A10" s="6"/>
      <c r="B10" s="7" t="s">
        <v>1</v>
      </c>
      <c r="C10" s="7"/>
      <c r="D10" s="7"/>
      <c r="E10" s="7"/>
      <c r="F10" s="7"/>
      <c r="G10" s="8"/>
      <c r="H10" s="71" t="s">
        <v>2</v>
      </c>
      <c r="I10" s="71"/>
      <c r="J10" s="71"/>
      <c r="K10" s="72" t="s">
        <v>3</v>
      </c>
      <c r="L10" s="72"/>
      <c r="M10" s="72"/>
      <c r="N10" s="73" t="s">
        <v>4</v>
      </c>
      <c r="O10" s="73"/>
      <c r="P10" s="73"/>
      <c r="Q10" s="74" t="s">
        <v>5</v>
      </c>
      <c r="R10" s="74"/>
      <c r="S10" s="74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spans="1:41" s="9" customFormat="1" ht="34.5" customHeight="1" x14ac:dyDescent="0.15">
      <c r="A11" s="6"/>
      <c r="B11" s="10" t="s">
        <v>6</v>
      </c>
      <c r="C11" s="10" t="s">
        <v>7</v>
      </c>
      <c r="D11" s="10" t="s">
        <v>8</v>
      </c>
      <c r="E11" s="11" t="s">
        <v>9</v>
      </c>
      <c r="F11" s="11" t="s">
        <v>10</v>
      </c>
      <c r="G11" s="12" t="s">
        <v>11</v>
      </c>
      <c r="H11" s="13" t="s">
        <v>12</v>
      </c>
      <c r="I11" s="14" t="s">
        <v>13</v>
      </c>
      <c r="J11" s="14" t="s">
        <v>14</v>
      </c>
      <c r="K11" s="11" t="s">
        <v>15</v>
      </c>
      <c r="L11" s="11" t="s">
        <v>16</v>
      </c>
      <c r="M11" s="11" t="s">
        <v>17</v>
      </c>
      <c r="N11" s="11" t="s">
        <v>18</v>
      </c>
      <c r="O11" s="11" t="s">
        <v>19</v>
      </c>
      <c r="P11" s="15" t="s">
        <v>20</v>
      </c>
      <c r="Q11" s="16" t="s">
        <v>21</v>
      </c>
      <c r="R11" s="17" t="s">
        <v>22</v>
      </c>
      <c r="S11" s="18" t="s">
        <v>23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spans="1:41" s="9" customFormat="1" ht="30" customHeight="1" x14ac:dyDescent="0.2">
      <c r="A12" s="6"/>
      <c r="B12" s="19" t="s">
        <v>19</v>
      </c>
      <c r="C12" s="19"/>
      <c r="D12" s="19"/>
      <c r="E12" s="20"/>
      <c r="F12" s="20"/>
      <c r="G12" s="21"/>
      <c r="H12" s="22"/>
      <c r="I12" s="23"/>
      <c r="J12" s="23"/>
      <c r="K12" s="23"/>
      <c r="L12" s="23"/>
      <c r="M12" s="23"/>
      <c r="N12" s="23"/>
      <c r="O12" s="23"/>
      <c r="P12" s="24"/>
      <c r="Q12" s="25"/>
      <c r="R12" s="26"/>
      <c r="S12" s="2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s="9" customFormat="1" x14ac:dyDescent="0.15">
      <c r="A13" s="6"/>
      <c r="B13" s="27" t="s">
        <v>33</v>
      </c>
      <c r="C13" s="27" t="s">
        <v>34</v>
      </c>
      <c r="D13" s="28" t="s">
        <v>27</v>
      </c>
      <c r="E13" s="29">
        <v>46253</v>
      </c>
      <c r="F13" s="29"/>
      <c r="G13" s="30">
        <v>46255</v>
      </c>
      <c r="H13" s="31"/>
      <c r="I13" s="32"/>
      <c r="J13" s="33">
        <f t="shared" ref="J13:J17" si="4">H13*I13</f>
        <v>0</v>
      </c>
      <c r="K13" s="34">
        <v>5</v>
      </c>
      <c r="L13" s="32">
        <v>3500000</v>
      </c>
      <c r="M13" s="33">
        <f t="shared" ref="M13:M17" si="5">K13*L13</f>
        <v>17500000</v>
      </c>
      <c r="N13" s="35"/>
      <c r="O13" s="35"/>
      <c r="P13" s="36"/>
      <c r="Q13" s="37">
        <v>17500000</v>
      </c>
      <c r="R13" s="38">
        <f t="shared" ref="R13:R17" si="6">J13+M13+N13+O13+P13</f>
        <v>17500000</v>
      </c>
      <c r="S13" s="39">
        <f t="shared" ref="S13:S18" si="7">R13-Q13</f>
        <v>0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s="9" customFormat="1" ht="24.75" x14ac:dyDescent="0.15">
      <c r="A14" s="6"/>
      <c r="B14" s="27" t="s">
        <v>35</v>
      </c>
      <c r="C14" s="27" t="s">
        <v>36</v>
      </c>
      <c r="D14" s="28" t="s">
        <v>27</v>
      </c>
      <c r="E14" s="29">
        <v>46254</v>
      </c>
      <c r="F14" s="29"/>
      <c r="G14" s="30">
        <v>46256</v>
      </c>
      <c r="H14" s="31"/>
      <c r="I14" s="32"/>
      <c r="J14" s="33">
        <f t="shared" si="4"/>
        <v>0</v>
      </c>
      <c r="K14" s="34">
        <v>2</v>
      </c>
      <c r="L14" s="32">
        <v>1200000</v>
      </c>
      <c r="M14" s="33">
        <f t="shared" si="5"/>
        <v>2400000</v>
      </c>
      <c r="N14" s="35"/>
      <c r="O14" s="35"/>
      <c r="P14" s="36"/>
      <c r="Q14" s="37">
        <v>2400000</v>
      </c>
      <c r="R14" s="38">
        <f t="shared" si="6"/>
        <v>2400000</v>
      </c>
      <c r="S14" s="39">
        <f t="shared" si="7"/>
        <v>0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s="9" customFormat="1" ht="30" customHeight="1" x14ac:dyDescent="0.2">
      <c r="A15" s="6"/>
      <c r="B15" s="27" t="s">
        <v>37</v>
      </c>
      <c r="C15" s="27" t="s">
        <v>38</v>
      </c>
      <c r="D15" s="28" t="s">
        <v>27</v>
      </c>
      <c r="E15" s="29">
        <v>46255</v>
      </c>
      <c r="F15" s="29"/>
      <c r="G15" s="30">
        <v>46257</v>
      </c>
      <c r="H15" s="31"/>
      <c r="I15" s="32"/>
      <c r="J15" s="33">
        <f t="shared" si="4"/>
        <v>0</v>
      </c>
      <c r="K15" s="34">
        <v>1</v>
      </c>
      <c r="L15" s="32">
        <v>3000000</v>
      </c>
      <c r="M15" s="33">
        <f t="shared" si="5"/>
        <v>3000000</v>
      </c>
      <c r="N15" s="35"/>
      <c r="O15" s="35"/>
      <c r="P15" s="36"/>
      <c r="Q15" s="37">
        <v>3000000</v>
      </c>
      <c r="R15" s="38">
        <f t="shared" si="6"/>
        <v>3000000</v>
      </c>
      <c r="S15" s="39">
        <f t="shared" si="7"/>
        <v>0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1:41" s="9" customFormat="1" ht="30" customHeight="1" x14ac:dyDescent="0.2">
      <c r="A16" s="6"/>
      <c r="B16" s="27" t="s">
        <v>39</v>
      </c>
      <c r="C16" s="27" t="s">
        <v>40</v>
      </c>
      <c r="D16" s="28" t="s">
        <v>27</v>
      </c>
      <c r="E16" s="29">
        <v>46256</v>
      </c>
      <c r="F16" s="29"/>
      <c r="G16" s="30">
        <v>46258</v>
      </c>
      <c r="H16" s="31"/>
      <c r="I16" s="32"/>
      <c r="J16" s="33">
        <f t="shared" si="4"/>
        <v>0</v>
      </c>
      <c r="K16" s="34">
        <v>1</v>
      </c>
      <c r="L16" s="32">
        <v>400000</v>
      </c>
      <c r="M16" s="33">
        <f t="shared" si="5"/>
        <v>400000</v>
      </c>
      <c r="N16" s="35"/>
      <c r="O16" s="35"/>
      <c r="P16" s="36"/>
      <c r="Q16" s="37">
        <v>400000</v>
      </c>
      <c r="R16" s="38">
        <f t="shared" si="6"/>
        <v>400000</v>
      </c>
      <c r="S16" s="39">
        <f t="shared" si="7"/>
        <v>0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spans="1:41" s="9" customFormat="1" ht="30" customHeight="1" x14ac:dyDescent="0.15">
      <c r="A17" s="6"/>
      <c r="B17" s="27" t="s">
        <v>41</v>
      </c>
      <c r="C17" s="27" t="s">
        <v>42</v>
      </c>
      <c r="D17" s="28" t="s">
        <v>27</v>
      </c>
      <c r="E17" s="29">
        <v>46258</v>
      </c>
      <c r="F17" s="29"/>
      <c r="G17" s="30">
        <v>46262</v>
      </c>
      <c r="H17" s="31"/>
      <c r="I17" s="32"/>
      <c r="J17" s="33">
        <f t="shared" si="4"/>
        <v>0</v>
      </c>
      <c r="K17" s="34">
        <v>5</v>
      </c>
      <c r="L17" s="32">
        <v>300000</v>
      </c>
      <c r="M17" s="33">
        <f t="shared" si="5"/>
        <v>1500000</v>
      </c>
      <c r="N17" s="35"/>
      <c r="O17" s="35"/>
      <c r="P17" s="36"/>
      <c r="Q17" s="37">
        <v>1500000</v>
      </c>
      <c r="R17" s="38">
        <f t="shared" si="6"/>
        <v>1500000</v>
      </c>
      <c r="S17" s="39">
        <f t="shared" si="7"/>
        <v>0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spans="1:41" s="9" customFormat="1" ht="30" customHeight="1" x14ac:dyDescent="0.2">
      <c r="A18" s="6"/>
      <c r="B18" s="40" t="s">
        <v>32</v>
      </c>
      <c r="C18" s="40"/>
      <c r="D18" s="41"/>
      <c r="E18" s="42"/>
      <c r="F18" s="42"/>
      <c r="G18" s="43"/>
      <c r="H18" s="44"/>
      <c r="I18" s="45"/>
      <c r="J18" s="46">
        <f>SUM(J13:J17)</f>
        <v>0</v>
      </c>
      <c r="K18" s="46"/>
      <c r="L18" s="46"/>
      <c r="M18" s="46">
        <f>SUM(M13:M17)</f>
        <v>24800000</v>
      </c>
      <c r="N18" s="46">
        <f>SUM(N13:N17)</f>
        <v>0</v>
      </c>
      <c r="O18" s="46">
        <f>SUM(O13:O17)</f>
        <v>0</v>
      </c>
      <c r="P18" s="47">
        <f>SUM(P13:P17)</f>
        <v>0</v>
      </c>
      <c r="Q18" s="48">
        <f>SUM(Q13:Q17)</f>
        <v>24800000</v>
      </c>
      <c r="R18" s="49">
        <f>SUM(J18:P18)</f>
        <v>24800000</v>
      </c>
      <c r="S18" s="49">
        <f t="shared" si="7"/>
        <v>0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spans="1:41" s="2" customFormat="1" ht="10.5" customHeight="1" x14ac:dyDescent="0.15">
      <c r="A19" s="6"/>
      <c r="B19" s="50"/>
      <c r="C19" s="50"/>
      <c r="D19" s="50"/>
      <c r="E19" s="50"/>
      <c r="F19" s="50"/>
      <c r="G19" s="50"/>
      <c r="H19" s="51"/>
      <c r="I19" s="52"/>
      <c r="J19" s="52"/>
      <c r="K19" s="51"/>
      <c r="L19" s="52"/>
      <c r="M19" s="52"/>
      <c r="N19" s="51"/>
      <c r="O19" s="51"/>
      <c r="P19" s="52"/>
      <c r="Q19" s="53"/>
      <c r="R19" s="52"/>
      <c r="S19" s="54"/>
    </row>
    <row r="20" spans="1:41" ht="34.5" customHeight="1" x14ac:dyDescent="0.15">
      <c r="A20" s="6"/>
      <c r="B20" s="7" t="s">
        <v>1</v>
      </c>
      <c r="C20" s="7"/>
      <c r="D20" s="7"/>
      <c r="E20" s="7"/>
      <c r="F20" s="7"/>
      <c r="G20" s="8"/>
      <c r="H20" s="71" t="s">
        <v>2</v>
      </c>
      <c r="I20" s="71"/>
      <c r="J20" s="71"/>
      <c r="K20" s="72" t="s">
        <v>3</v>
      </c>
      <c r="L20" s="72"/>
      <c r="M20" s="72"/>
      <c r="N20" s="73" t="s">
        <v>4</v>
      </c>
      <c r="O20" s="73"/>
      <c r="P20" s="73"/>
      <c r="Q20" s="74" t="s">
        <v>5</v>
      </c>
      <c r="R20" s="74"/>
      <c r="S20" s="74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ht="34.5" customHeight="1" x14ac:dyDescent="0.15">
      <c r="A21" s="6"/>
      <c r="B21" s="10" t="s">
        <v>6</v>
      </c>
      <c r="C21" s="10" t="s">
        <v>7</v>
      </c>
      <c r="D21" s="10" t="s">
        <v>8</v>
      </c>
      <c r="E21" s="11" t="s">
        <v>9</v>
      </c>
      <c r="F21" s="11" t="s">
        <v>10</v>
      </c>
      <c r="G21" s="12" t="s">
        <v>11</v>
      </c>
      <c r="H21" s="13" t="s">
        <v>12</v>
      </c>
      <c r="I21" s="14" t="s">
        <v>13</v>
      </c>
      <c r="J21" s="14" t="s">
        <v>14</v>
      </c>
      <c r="K21" s="11" t="s">
        <v>15</v>
      </c>
      <c r="L21" s="11" t="s">
        <v>16</v>
      </c>
      <c r="M21" s="11" t="s">
        <v>17</v>
      </c>
      <c r="N21" s="11" t="s">
        <v>18</v>
      </c>
      <c r="O21" s="11" t="s">
        <v>19</v>
      </c>
      <c r="P21" s="15" t="s">
        <v>20</v>
      </c>
      <c r="Q21" s="16" t="s">
        <v>21</v>
      </c>
      <c r="R21" s="17" t="s">
        <v>22</v>
      </c>
      <c r="S21" s="18" t="s">
        <v>23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ht="30" customHeight="1" x14ac:dyDescent="0.15">
      <c r="A22" s="6"/>
      <c r="B22" s="19" t="s">
        <v>43</v>
      </c>
      <c r="C22" s="19"/>
      <c r="D22" s="19"/>
      <c r="E22" s="20"/>
      <c r="F22" s="20"/>
      <c r="G22" s="21"/>
      <c r="H22" s="22"/>
      <c r="I22" s="23"/>
      <c r="J22" s="23"/>
      <c r="K22" s="23"/>
      <c r="L22" s="23"/>
      <c r="M22" s="23"/>
      <c r="N22" s="23"/>
      <c r="O22" s="23"/>
      <c r="P22" s="24"/>
      <c r="Q22" s="25"/>
      <c r="R22" s="26"/>
      <c r="S22" s="26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ht="30" customHeight="1" x14ac:dyDescent="0.15">
      <c r="A23" s="6"/>
      <c r="B23" s="27" t="s">
        <v>44</v>
      </c>
      <c r="C23" s="27" t="s">
        <v>45</v>
      </c>
      <c r="D23" s="28" t="s">
        <v>27</v>
      </c>
      <c r="E23" s="29">
        <v>46253</v>
      </c>
      <c r="F23" s="29"/>
      <c r="G23" s="30">
        <v>46255</v>
      </c>
      <c r="H23" s="31"/>
      <c r="I23" s="32"/>
      <c r="J23" s="33">
        <f t="shared" ref="J23:J27" si="8">H23*I23</f>
        <v>0</v>
      </c>
      <c r="K23" s="34">
        <v>5</v>
      </c>
      <c r="L23" s="32">
        <v>600000</v>
      </c>
      <c r="M23" s="33">
        <f t="shared" ref="M23:M27" si="9">K23*L23</f>
        <v>3000000</v>
      </c>
      <c r="N23" s="35"/>
      <c r="O23" s="35"/>
      <c r="P23" s="36"/>
      <c r="Q23" s="37">
        <v>3000000</v>
      </c>
      <c r="R23" s="38">
        <f t="shared" ref="R23:R27" si="10">J23+M23+N23+O23+P23</f>
        <v>3000000</v>
      </c>
      <c r="S23" s="39">
        <f t="shared" ref="S23:S28" si="11">R23-Q23</f>
        <v>0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ht="30" customHeight="1" x14ac:dyDescent="0.15">
      <c r="A24" s="6"/>
      <c r="B24" s="27" t="s">
        <v>46</v>
      </c>
      <c r="C24" s="27" t="s">
        <v>47</v>
      </c>
      <c r="D24" s="28" t="s">
        <v>27</v>
      </c>
      <c r="E24" s="29">
        <v>46254</v>
      </c>
      <c r="F24" s="29"/>
      <c r="G24" s="30">
        <v>46256</v>
      </c>
      <c r="H24" s="31"/>
      <c r="I24" s="32"/>
      <c r="J24" s="33">
        <f t="shared" si="8"/>
        <v>0</v>
      </c>
      <c r="K24" s="34">
        <v>2</v>
      </c>
      <c r="L24" s="32">
        <v>750000</v>
      </c>
      <c r="M24" s="33">
        <f t="shared" si="9"/>
        <v>1500000</v>
      </c>
      <c r="N24" s="35"/>
      <c r="O24" s="35"/>
      <c r="P24" s="36"/>
      <c r="Q24" s="37">
        <v>1500000</v>
      </c>
      <c r="R24" s="38">
        <f t="shared" si="10"/>
        <v>1500000</v>
      </c>
      <c r="S24" s="39">
        <f t="shared" si="11"/>
        <v>0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ht="30" customHeight="1" x14ac:dyDescent="0.15">
      <c r="A25" s="6"/>
      <c r="B25" s="27" t="s">
        <v>48</v>
      </c>
      <c r="C25" s="27" t="s">
        <v>45</v>
      </c>
      <c r="D25" s="28" t="s">
        <v>27</v>
      </c>
      <c r="E25" s="29">
        <v>46255</v>
      </c>
      <c r="F25" s="29"/>
      <c r="G25" s="30">
        <v>46257</v>
      </c>
      <c r="H25" s="31"/>
      <c r="I25" s="32"/>
      <c r="J25" s="33">
        <f t="shared" si="8"/>
        <v>0</v>
      </c>
      <c r="K25" s="34">
        <v>5</v>
      </c>
      <c r="L25" s="32">
        <v>200000</v>
      </c>
      <c r="M25" s="33">
        <f t="shared" si="9"/>
        <v>1000000</v>
      </c>
      <c r="N25" s="35"/>
      <c r="O25" s="35"/>
      <c r="P25" s="36"/>
      <c r="Q25" s="37">
        <v>1000000</v>
      </c>
      <c r="R25" s="38">
        <f t="shared" si="10"/>
        <v>1000000</v>
      </c>
      <c r="S25" s="39">
        <f t="shared" si="11"/>
        <v>0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ht="30" customHeight="1" x14ac:dyDescent="0.15">
      <c r="A26" s="6"/>
      <c r="B26" s="27" t="s">
        <v>49</v>
      </c>
      <c r="C26" s="27" t="s">
        <v>45</v>
      </c>
      <c r="D26" s="28" t="s">
        <v>27</v>
      </c>
      <c r="E26" s="29">
        <v>46256</v>
      </c>
      <c r="F26" s="29"/>
      <c r="G26" s="30">
        <v>46258</v>
      </c>
      <c r="H26" s="31"/>
      <c r="I26" s="32"/>
      <c r="J26" s="33">
        <f t="shared" si="8"/>
        <v>0</v>
      </c>
      <c r="K26" s="34">
        <v>5</v>
      </c>
      <c r="L26" s="32">
        <v>200000</v>
      </c>
      <c r="M26" s="33">
        <f t="shared" si="9"/>
        <v>1000000</v>
      </c>
      <c r="N26" s="35"/>
      <c r="O26" s="35"/>
      <c r="P26" s="36"/>
      <c r="Q26" s="37">
        <v>1000000</v>
      </c>
      <c r="R26" s="38">
        <f t="shared" si="10"/>
        <v>1000000</v>
      </c>
      <c r="S26" s="39">
        <f t="shared" si="11"/>
        <v>0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ht="30" customHeight="1" x14ac:dyDescent="0.15">
      <c r="A27" s="6"/>
      <c r="B27" s="27" t="s">
        <v>50</v>
      </c>
      <c r="C27" s="27" t="s">
        <v>45</v>
      </c>
      <c r="D27" s="28" t="s">
        <v>27</v>
      </c>
      <c r="E27" s="29">
        <v>46258</v>
      </c>
      <c r="F27" s="29"/>
      <c r="G27" s="30">
        <v>46260</v>
      </c>
      <c r="H27" s="31"/>
      <c r="I27" s="32"/>
      <c r="J27" s="33">
        <f t="shared" si="8"/>
        <v>0</v>
      </c>
      <c r="K27" s="34">
        <v>5</v>
      </c>
      <c r="L27" s="32">
        <v>300000</v>
      </c>
      <c r="M27" s="33">
        <f t="shared" si="9"/>
        <v>1500000</v>
      </c>
      <c r="N27" s="35"/>
      <c r="O27" s="35"/>
      <c r="P27" s="36"/>
      <c r="Q27" s="37">
        <v>1500000</v>
      </c>
      <c r="R27" s="38">
        <f t="shared" si="10"/>
        <v>1500000</v>
      </c>
      <c r="S27" s="39">
        <f t="shared" si="11"/>
        <v>0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ht="30" customHeight="1" x14ac:dyDescent="0.15">
      <c r="A28" s="6"/>
      <c r="B28" s="40" t="s">
        <v>32</v>
      </c>
      <c r="C28" s="40"/>
      <c r="D28" s="41"/>
      <c r="E28" s="42"/>
      <c r="F28" s="42"/>
      <c r="G28" s="43"/>
      <c r="H28" s="44"/>
      <c r="I28" s="45"/>
      <c r="J28" s="46">
        <f>SUM(J23:J27)</f>
        <v>0</v>
      </c>
      <c r="K28" s="46"/>
      <c r="L28" s="46"/>
      <c r="M28" s="46">
        <f>SUM(M23:M27)</f>
        <v>8000000</v>
      </c>
      <c r="N28" s="46">
        <f>SUM(N23:N27)</f>
        <v>0</v>
      </c>
      <c r="O28" s="46">
        <f>SUM(O23:O27)</f>
        <v>0</v>
      </c>
      <c r="P28" s="47">
        <f>SUM(P23:P27)</f>
        <v>0</v>
      </c>
      <c r="Q28" s="48">
        <f>SUM(Q23:Q27)</f>
        <v>8000000</v>
      </c>
      <c r="R28" s="49">
        <f>SUM(J28:P28)</f>
        <v>8000000</v>
      </c>
      <c r="S28" s="49">
        <f t="shared" si="11"/>
        <v>0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ht="10.5" customHeight="1" x14ac:dyDescent="0.15">
      <c r="A29" s="6"/>
      <c r="B29" s="50"/>
      <c r="C29" s="50"/>
      <c r="D29" s="50"/>
      <c r="E29" s="50"/>
      <c r="F29" s="50"/>
      <c r="G29" s="50"/>
      <c r="H29" s="51"/>
      <c r="I29" s="52"/>
      <c r="J29" s="52"/>
      <c r="K29" s="51"/>
      <c r="L29" s="52"/>
      <c r="M29" s="52"/>
      <c r="N29" s="51"/>
      <c r="O29" s="51"/>
      <c r="P29" s="52"/>
      <c r="Q29" s="53"/>
      <c r="R29" s="52"/>
      <c r="S29" s="54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ht="34.5" customHeight="1" x14ac:dyDescent="0.15">
      <c r="A30" s="6"/>
      <c r="B30" s="7" t="s">
        <v>1</v>
      </c>
      <c r="C30" s="7"/>
      <c r="D30" s="7"/>
      <c r="E30" s="7"/>
      <c r="F30" s="7"/>
      <c r="G30" s="8"/>
      <c r="H30" s="71" t="s">
        <v>2</v>
      </c>
      <c r="I30" s="71"/>
      <c r="J30" s="71"/>
      <c r="K30" s="72" t="s">
        <v>3</v>
      </c>
      <c r="L30" s="72"/>
      <c r="M30" s="72"/>
      <c r="N30" s="73" t="s">
        <v>4</v>
      </c>
      <c r="O30" s="73"/>
      <c r="P30" s="73"/>
      <c r="Q30" s="74" t="s">
        <v>5</v>
      </c>
      <c r="R30" s="74"/>
      <c r="S30" s="74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ht="34.5" customHeight="1" x14ac:dyDescent="0.15">
      <c r="A31" s="6"/>
      <c r="B31" s="10" t="s">
        <v>6</v>
      </c>
      <c r="C31" s="10" t="s">
        <v>7</v>
      </c>
      <c r="D31" s="10" t="s">
        <v>8</v>
      </c>
      <c r="E31" s="11" t="s">
        <v>9</v>
      </c>
      <c r="F31" s="11" t="s">
        <v>10</v>
      </c>
      <c r="G31" s="12" t="s">
        <v>11</v>
      </c>
      <c r="H31" s="13" t="s">
        <v>12</v>
      </c>
      <c r="I31" s="14" t="s">
        <v>13</v>
      </c>
      <c r="J31" s="14" t="s">
        <v>14</v>
      </c>
      <c r="K31" s="11" t="s">
        <v>15</v>
      </c>
      <c r="L31" s="11" t="s">
        <v>16</v>
      </c>
      <c r="M31" s="11" t="s">
        <v>17</v>
      </c>
      <c r="N31" s="11" t="s">
        <v>18</v>
      </c>
      <c r="O31" s="11" t="s">
        <v>19</v>
      </c>
      <c r="P31" s="15" t="s">
        <v>20</v>
      </c>
      <c r="Q31" s="16" t="s">
        <v>21</v>
      </c>
      <c r="R31" s="17" t="s">
        <v>22</v>
      </c>
      <c r="S31" s="18" t="s">
        <v>23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ht="30" customHeight="1" x14ac:dyDescent="0.15">
      <c r="A32" s="6"/>
      <c r="B32" s="19" t="s">
        <v>51</v>
      </c>
      <c r="C32" s="19"/>
      <c r="D32" s="19"/>
      <c r="E32" s="20"/>
      <c r="F32" s="20"/>
      <c r="G32" s="21"/>
      <c r="H32" s="22"/>
      <c r="I32" s="23"/>
      <c r="J32" s="23"/>
      <c r="K32" s="23"/>
      <c r="L32" s="23"/>
      <c r="M32" s="23"/>
      <c r="N32" s="23"/>
      <c r="O32" s="23"/>
      <c r="P32" s="24"/>
      <c r="Q32" s="25"/>
      <c r="R32" s="26"/>
      <c r="S32" s="26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ht="30" customHeight="1" x14ac:dyDescent="0.15">
      <c r="A33" s="6"/>
      <c r="B33" s="27" t="s">
        <v>52</v>
      </c>
      <c r="C33" s="27" t="s">
        <v>53</v>
      </c>
      <c r="D33" s="28" t="s">
        <v>27</v>
      </c>
      <c r="E33" s="29">
        <v>46253</v>
      </c>
      <c r="F33" s="29"/>
      <c r="G33" s="30">
        <v>46341</v>
      </c>
      <c r="H33" s="31"/>
      <c r="I33" s="32"/>
      <c r="J33" s="33">
        <f t="shared" ref="J33:J39" si="12">H33*I33</f>
        <v>0</v>
      </c>
      <c r="K33" s="34"/>
      <c r="L33" s="32"/>
      <c r="M33" s="33">
        <f t="shared" ref="M33:M39" si="13">K33*L33</f>
        <v>0</v>
      </c>
      <c r="N33" s="35"/>
      <c r="O33" s="35">
        <v>3000000</v>
      </c>
      <c r="P33" s="36"/>
      <c r="Q33" s="37">
        <v>3000000</v>
      </c>
      <c r="R33" s="38">
        <f t="shared" ref="R33:R39" si="14">J33+M33+N33+O33+P33</f>
        <v>3000000</v>
      </c>
      <c r="S33" s="39">
        <f t="shared" ref="S33:S40" si="15">R33-Q33</f>
        <v>0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ht="30" customHeight="1" x14ac:dyDescent="0.15">
      <c r="A34" s="6"/>
      <c r="B34" s="27" t="s">
        <v>54</v>
      </c>
      <c r="C34" s="27" t="s">
        <v>53</v>
      </c>
      <c r="D34" s="28" t="s">
        <v>27</v>
      </c>
      <c r="E34" s="29">
        <v>46253</v>
      </c>
      <c r="F34" s="29"/>
      <c r="G34" s="30">
        <v>46341</v>
      </c>
      <c r="H34" s="31"/>
      <c r="I34" s="32"/>
      <c r="J34" s="33">
        <f t="shared" si="12"/>
        <v>0</v>
      </c>
      <c r="K34" s="34"/>
      <c r="L34" s="32"/>
      <c r="M34" s="33">
        <f t="shared" si="13"/>
        <v>0</v>
      </c>
      <c r="N34" s="35"/>
      <c r="O34" s="35">
        <v>1500000</v>
      </c>
      <c r="P34" s="36"/>
      <c r="Q34" s="37">
        <v>1500000</v>
      </c>
      <c r="R34" s="38">
        <f t="shared" si="14"/>
        <v>1500000</v>
      </c>
      <c r="S34" s="39">
        <f t="shared" si="15"/>
        <v>0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ht="30" customHeight="1" x14ac:dyDescent="0.15">
      <c r="A35" s="6"/>
      <c r="B35" s="27" t="s">
        <v>55</v>
      </c>
      <c r="C35" s="27" t="s">
        <v>53</v>
      </c>
      <c r="D35" s="28" t="s">
        <v>27</v>
      </c>
      <c r="E35" s="29">
        <v>46253</v>
      </c>
      <c r="F35" s="29"/>
      <c r="G35" s="30">
        <v>46341</v>
      </c>
      <c r="H35" s="31"/>
      <c r="I35" s="32"/>
      <c r="J35" s="33">
        <f t="shared" si="12"/>
        <v>0</v>
      </c>
      <c r="K35" s="34"/>
      <c r="L35" s="32"/>
      <c r="M35" s="33">
        <f t="shared" si="13"/>
        <v>0</v>
      </c>
      <c r="N35" s="35"/>
      <c r="O35" s="35">
        <v>500000</v>
      </c>
      <c r="P35" s="36"/>
      <c r="Q35" s="37">
        <v>500000</v>
      </c>
      <c r="R35" s="38">
        <f t="shared" si="14"/>
        <v>500000</v>
      </c>
      <c r="S35" s="39">
        <f t="shared" si="15"/>
        <v>0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ht="30" customHeight="1" x14ac:dyDescent="0.15">
      <c r="A36" s="6"/>
      <c r="B36" s="27" t="s">
        <v>56</v>
      </c>
      <c r="C36" s="27" t="s">
        <v>53</v>
      </c>
      <c r="D36" s="28" t="s">
        <v>27</v>
      </c>
      <c r="E36" s="29">
        <v>46253</v>
      </c>
      <c r="F36" s="29"/>
      <c r="G36" s="30">
        <v>46341</v>
      </c>
      <c r="H36" s="31"/>
      <c r="I36" s="32"/>
      <c r="J36" s="33">
        <f t="shared" si="12"/>
        <v>0</v>
      </c>
      <c r="K36" s="34"/>
      <c r="L36" s="32"/>
      <c r="M36" s="33">
        <f t="shared" si="13"/>
        <v>0</v>
      </c>
      <c r="N36" s="35"/>
      <c r="O36" s="35">
        <v>500000</v>
      </c>
      <c r="P36" s="36"/>
      <c r="Q36" s="37">
        <v>500000</v>
      </c>
      <c r="R36" s="38">
        <f t="shared" si="14"/>
        <v>500000</v>
      </c>
      <c r="S36" s="39">
        <f t="shared" si="15"/>
        <v>0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ht="30" customHeight="1" x14ac:dyDescent="0.15">
      <c r="A37" s="6"/>
      <c r="B37" s="27" t="s">
        <v>57</v>
      </c>
      <c r="C37" s="27" t="s">
        <v>53</v>
      </c>
      <c r="D37" s="28" t="s">
        <v>27</v>
      </c>
      <c r="E37" s="29">
        <v>46253</v>
      </c>
      <c r="F37" s="29"/>
      <c r="G37" s="30">
        <v>46341</v>
      </c>
      <c r="H37" s="31"/>
      <c r="I37" s="32"/>
      <c r="J37" s="33">
        <f t="shared" si="12"/>
        <v>0</v>
      </c>
      <c r="K37" s="34"/>
      <c r="L37" s="32"/>
      <c r="M37" s="33">
        <f t="shared" si="13"/>
        <v>0</v>
      </c>
      <c r="N37" s="35"/>
      <c r="O37" s="35">
        <v>300000</v>
      </c>
      <c r="P37" s="36"/>
      <c r="Q37" s="37">
        <v>300000</v>
      </c>
      <c r="R37" s="38">
        <f t="shared" si="14"/>
        <v>300000</v>
      </c>
      <c r="S37" s="39">
        <f t="shared" si="15"/>
        <v>0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ht="30" customHeight="1" x14ac:dyDescent="0.15">
      <c r="A38" s="6"/>
      <c r="B38" s="27" t="s">
        <v>58</v>
      </c>
      <c r="C38" s="27" t="s">
        <v>53</v>
      </c>
      <c r="D38" s="28" t="s">
        <v>27</v>
      </c>
      <c r="E38" s="29">
        <v>46253</v>
      </c>
      <c r="F38" s="29"/>
      <c r="G38" s="30">
        <v>46341</v>
      </c>
      <c r="H38" s="31"/>
      <c r="I38" s="32"/>
      <c r="J38" s="33">
        <f t="shared" si="12"/>
        <v>0</v>
      </c>
      <c r="K38" s="34"/>
      <c r="L38" s="32"/>
      <c r="M38" s="33">
        <f t="shared" si="13"/>
        <v>0</v>
      </c>
      <c r="N38" s="35"/>
      <c r="O38" s="35">
        <v>500000</v>
      </c>
      <c r="P38" s="36"/>
      <c r="Q38" s="37">
        <v>500000</v>
      </c>
      <c r="R38" s="38">
        <f t="shared" si="14"/>
        <v>500000</v>
      </c>
      <c r="S38" s="39">
        <f t="shared" si="15"/>
        <v>0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ht="30" customHeight="1" x14ac:dyDescent="0.15">
      <c r="A39" s="6"/>
      <c r="B39" s="27" t="s">
        <v>59</v>
      </c>
      <c r="C39" s="27" t="s">
        <v>53</v>
      </c>
      <c r="D39" s="28" t="s">
        <v>27</v>
      </c>
      <c r="E39" s="29">
        <v>46253</v>
      </c>
      <c r="F39" s="29"/>
      <c r="G39" s="30">
        <v>46341</v>
      </c>
      <c r="H39" s="31"/>
      <c r="I39" s="32"/>
      <c r="J39" s="33">
        <f t="shared" si="12"/>
        <v>0</v>
      </c>
      <c r="K39" s="34"/>
      <c r="L39" s="32"/>
      <c r="M39" s="33">
        <f t="shared" si="13"/>
        <v>0</v>
      </c>
      <c r="N39" s="35"/>
      <c r="O39" s="35">
        <v>500000</v>
      </c>
      <c r="P39" s="36"/>
      <c r="Q39" s="37">
        <v>500000</v>
      </c>
      <c r="R39" s="38">
        <f t="shared" si="14"/>
        <v>500000</v>
      </c>
      <c r="S39" s="39">
        <f t="shared" si="15"/>
        <v>0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ht="30" customHeight="1" x14ac:dyDescent="0.15">
      <c r="A40" s="6"/>
      <c r="B40" s="40" t="s">
        <v>32</v>
      </c>
      <c r="C40" s="40"/>
      <c r="D40" s="41"/>
      <c r="E40" s="42"/>
      <c r="F40" s="42"/>
      <c r="G40" s="43"/>
      <c r="H40" s="44"/>
      <c r="I40" s="45"/>
      <c r="J40" s="46">
        <f>SUM(J33:J39)</f>
        <v>0</v>
      </c>
      <c r="K40" s="46"/>
      <c r="L40" s="46"/>
      <c r="M40" s="46">
        <f>SUM(M33:M39)</f>
        <v>0</v>
      </c>
      <c r="N40" s="46">
        <f>SUM(N33:N39)</f>
        <v>0</v>
      </c>
      <c r="O40" s="46">
        <f>SUM(O33:O39)</f>
        <v>6800000</v>
      </c>
      <c r="P40" s="47">
        <f>SUM(P33:P39)</f>
        <v>0</v>
      </c>
      <c r="Q40" s="48">
        <f>SUM(Q33:Q39)</f>
        <v>6800000</v>
      </c>
      <c r="R40" s="49">
        <f>SUM(J40:P40)</f>
        <v>6800000</v>
      </c>
      <c r="S40" s="49">
        <f t="shared" si="15"/>
        <v>0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ht="10.5" customHeight="1" x14ac:dyDescent="0.15">
      <c r="A41" s="6"/>
      <c r="B41" s="50"/>
      <c r="C41" s="50"/>
      <c r="D41" s="50"/>
      <c r="E41" s="50"/>
      <c r="F41" s="50"/>
      <c r="G41" s="50"/>
      <c r="H41" s="51"/>
      <c r="I41" s="52"/>
      <c r="J41" s="52"/>
      <c r="K41" s="51"/>
      <c r="L41" s="52"/>
      <c r="M41" s="52"/>
      <c r="N41" s="51"/>
      <c r="O41" s="51"/>
      <c r="P41" s="52"/>
      <c r="Q41" s="53"/>
      <c r="R41" s="52"/>
      <c r="S41" s="54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ht="34.5" customHeight="1" x14ac:dyDescent="0.15">
      <c r="A42" s="6"/>
      <c r="B42" s="7" t="s">
        <v>1</v>
      </c>
      <c r="C42" s="7"/>
      <c r="D42" s="7"/>
      <c r="E42" s="7"/>
      <c r="F42" s="7"/>
      <c r="G42" s="8"/>
      <c r="H42" s="71" t="s">
        <v>2</v>
      </c>
      <c r="I42" s="71"/>
      <c r="J42" s="71"/>
      <c r="K42" s="72" t="s">
        <v>3</v>
      </c>
      <c r="L42" s="72"/>
      <c r="M42" s="72"/>
      <c r="N42" s="73" t="s">
        <v>4</v>
      </c>
      <c r="O42" s="73"/>
      <c r="P42" s="73"/>
      <c r="Q42" s="74" t="s">
        <v>5</v>
      </c>
      <c r="R42" s="74"/>
      <c r="S42" s="74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34.5" customHeight="1" x14ac:dyDescent="0.15">
      <c r="A43" s="6"/>
      <c r="B43" s="10" t="s">
        <v>6</v>
      </c>
      <c r="C43" s="10" t="s">
        <v>7</v>
      </c>
      <c r="D43" s="10" t="s">
        <v>8</v>
      </c>
      <c r="E43" s="11" t="s">
        <v>9</v>
      </c>
      <c r="F43" s="11" t="s">
        <v>10</v>
      </c>
      <c r="G43" s="12" t="s">
        <v>11</v>
      </c>
      <c r="H43" s="13" t="s">
        <v>12</v>
      </c>
      <c r="I43" s="14" t="s">
        <v>13</v>
      </c>
      <c r="J43" s="14" t="s">
        <v>14</v>
      </c>
      <c r="K43" s="11" t="s">
        <v>15</v>
      </c>
      <c r="L43" s="11" t="s">
        <v>16</v>
      </c>
      <c r="M43" s="11" t="s">
        <v>17</v>
      </c>
      <c r="N43" s="11" t="s">
        <v>18</v>
      </c>
      <c r="O43" s="11" t="s">
        <v>19</v>
      </c>
      <c r="P43" s="15" t="s">
        <v>20</v>
      </c>
      <c r="Q43" s="16" t="s">
        <v>21</v>
      </c>
      <c r="R43" s="17" t="s">
        <v>22</v>
      </c>
      <c r="S43" s="18" t="s">
        <v>23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30" customHeight="1" x14ac:dyDescent="0.15">
      <c r="A44" s="6"/>
      <c r="B44" s="19" t="s">
        <v>60</v>
      </c>
      <c r="C44" s="19"/>
      <c r="D44" s="19"/>
      <c r="E44" s="20"/>
      <c r="F44" s="20"/>
      <c r="G44" s="21"/>
      <c r="H44" s="22"/>
      <c r="I44" s="23"/>
      <c r="J44" s="23"/>
      <c r="K44" s="23"/>
      <c r="L44" s="23"/>
      <c r="M44" s="23"/>
      <c r="N44" s="23"/>
      <c r="O44" s="23"/>
      <c r="P44" s="24"/>
      <c r="Q44" s="25"/>
      <c r="R44" s="26"/>
      <c r="S44" s="26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30" customHeight="1" x14ac:dyDescent="0.15">
      <c r="A45" s="6"/>
      <c r="B45" s="27" t="s">
        <v>61</v>
      </c>
      <c r="C45" s="27" t="s">
        <v>53</v>
      </c>
      <c r="D45" s="28" t="s">
        <v>27</v>
      </c>
      <c r="E45" s="29">
        <v>46266</v>
      </c>
      <c r="F45" s="29"/>
      <c r="G45" s="30">
        <v>46310</v>
      </c>
      <c r="H45" s="31"/>
      <c r="I45" s="32"/>
      <c r="J45" s="33">
        <f t="shared" ref="J45:J48" si="16">H45*I45</f>
        <v>0</v>
      </c>
      <c r="K45" s="34"/>
      <c r="L45" s="32"/>
      <c r="M45" s="33">
        <f t="shared" ref="M45:M48" si="17">K45*L45</f>
        <v>0</v>
      </c>
      <c r="N45" s="35"/>
      <c r="O45" s="35">
        <v>3000000</v>
      </c>
      <c r="P45" s="36"/>
      <c r="Q45" s="37">
        <v>3000000</v>
      </c>
      <c r="R45" s="38">
        <f t="shared" ref="R45:R48" si="18">J45+M45+N45+O45+P45</f>
        <v>3000000</v>
      </c>
      <c r="S45" s="39">
        <f t="shared" ref="S45:S49" si="19">R45-Q45</f>
        <v>0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30" customHeight="1" x14ac:dyDescent="0.15">
      <c r="A46" s="6"/>
      <c r="B46" s="27" t="s">
        <v>62</v>
      </c>
      <c r="C46" s="27" t="s">
        <v>63</v>
      </c>
      <c r="D46" s="28" t="s">
        <v>27</v>
      </c>
      <c r="E46" s="29">
        <v>46266</v>
      </c>
      <c r="F46" s="29"/>
      <c r="G46" s="30">
        <v>46280</v>
      </c>
      <c r="H46" s="31"/>
      <c r="I46" s="32"/>
      <c r="J46" s="33">
        <f t="shared" si="16"/>
        <v>0</v>
      </c>
      <c r="K46" s="34"/>
      <c r="L46" s="32"/>
      <c r="M46" s="33">
        <f t="shared" si="17"/>
        <v>0</v>
      </c>
      <c r="N46" s="35"/>
      <c r="O46" s="35">
        <v>500000</v>
      </c>
      <c r="P46" s="36"/>
      <c r="Q46" s="37">
        <v>500000</v>
      </c>
      <c r="R46" s="38">
        <f t="shared" si="18"/>
        <v>500000</v>
      </c>
      <c r="S46" s="39">
        <f t="shared" si="19"/>
        <v>0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30" customHeight="1" x14ac:dyDescent="0.15">
      <c r="A47" s="6"/>
      <c r="B47" s="27" t="s">
        <v>64</v>
      </c>
      <c r="C47" s="27" t="s">
        <v>53</v>
      </c>
      <c r="D47" s="28" t="s">
        <v>27</v>
      </c>
      <c r="E47" s="29">
        <v>46270</v>
      </c>
      <c r="F47" s="29"/>
      <c r="G47" s="30">
        <v>46310</v>
      </c>
      <c r="H47" s="31"/>
      <c r="I47" s="32"/>
      <c r="J47" s="33">
        <f t="shared" si="16"/>
        <v>0</v>
      </c>
      <c r="K47" s="34"/>
      <c r="L47" s="32"/>
      <c r="M47" s="33">
        <f t="shared" si="17"/>
        <v>0</v>
      </c>
      <c r="N47" s="35"/>
      <c r="O47" s="35">
        <v>500000</v>
      </c>
      <c r="P47" s="36"/>
      <c r="Q47" s="37">
        <v>500000</v>
      </c>
      <c r="R47" s="38">
        <f t="shared" si="18"/>
        <v>500000</v>
      </c>
      <c r="S47" s="39">
        <f t="shared" si="19"/>
        <v>0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30" customHeight="1" x14ac:dyDescent="0.15">
      <c r="A48" s="6"/>
      <c r="B48" s="27" t="s">
        <v>65</v>
      </c>
      <c r="C48" s="27" t="s">
        <v>63</v>
      </c>
      <c r="D48" s="28" t="s">
        <v>27</v>
      </c>
      <c r="E48" s="29">
        <v>46285</v>
      </c>
      <c r="F48" s="29"/>
      <c r="G48" s="30">
        <v>46305</v>
      </c>
      <c r="H48" s="31"/>
      <c r="I48" s="32"/>
      <c r="J48" s="33">
        <f t="shared" si="16"/>
        <v>0</v>
      </c>
      <c r="K48" s="34"/>
      <c r="L48" s="32"/>
      <c r="M48" s="33">
        <f t="shared" si="17"/>
        <v>0</v>
      </c>
      <c r="N48" s="35"/>
      <c r="O48" s="35">
        <v>1000000</v>
      </c>
      <c r="P48" s="36"/>
      <c r="Q48" s="37">
        <v>1000000</v>
      </c>
      <c r="R48" s="38">
        <f t="shared" si="18"/>
        <v>1000000</v>
      </c>
      <c r="S48" s="39">
        <f t="shared" si="19"/>
        <v>0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30" customHeight="1" x14ac:dyDescent="0.15">
      <c r="A49" s="6"/>
      <c r="B49" s="40" t="s">
        <v>32</v>
      </c>
      <c r="C49" s="40"/>
      <c r="D49" s="41"/>
      <c r="E49" s="42"/>
      <c r="F49" s="42"/>
      <c r="G49" s="43"/>
      <c r="H49" s="44"/>
      <c r="I49" s="45"/>
      <c r="J49" s="46">
        <f>SUM(J45:J48)</f>
        <v>0</v>
      </c>
      <c r="K49" s="46"/>
      <c r="L49" s="46"/>
      <c r="M49" s="46">
        <f>SUM(M45:M48)</f>
        <v>0</v>
      </c>
      <c r="N49" s="46">
        <f>SUM(N45:N48)</f>
        <v>0</v>
      </c>
      <c r="O49" s="46">
        <f>SUM(O45:O48)</f>
        <v>5000000</v>
      </c>
      <c r="P49" s="47">
        <f>SUM(P45:P48)</f>
        <v>0</v>
      </c>
      <c r="Q49" s="48">
        <f>SUM(Q45:Q48)</f>
        <v>5000000</v>
      </c>
      <c r="R49" s="49">
        <f>SUM(J49:P49)</f>
        <v>5000000</v>
      </c>
      <c r="S49" s="49">
        <f t="shared" si="19"/>
        <v>0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0.5" customHeight="1" x14ac:dyDescent="0.15">
      <c r="A50" s="6"/>
      <c r="B50" s="50"/>
      <c r="C50" s="50"/>
      <c r="D50" s="50"/>
      <c r="E50" s="50"/>
      <c r="F50" s="50"/>
      <c r="G50" s="50"/>
      <c r="H50" s="51"/>
      <c r="I50" s="52"/>
      <c r="J50" s="52"/>
      <c r="K50" s="51"/>
      <c r="L50" s="52"/>
      <c r="M50" s="52"/>
      <c r="N50" s="51"/>
      <c r="O50" s="51"/>
      <c r="P50" s="52"/>
      <c r="Q50" s="53"/>
      <c r="R50" s="52"/>
      <c r="S50" s="54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34.5" customHeight="1" x14ac:dyDescent="0.15">
      <c r="A51" s="6"/>
      <c r="B51" s="7" t="s">
        <v>1</v>
      </c>
      <c r="C51" s="7"/>
      <c r="D51" s="7"/>
      <c r="E51" s="7"/>
      <c r="F51" s="7"/>
      <c r="G51" s="8"/>
      <c r="H51" s="71" t="s">
        <v>2</v>
      </c>
      <c r="I51" s="71"/>
      <c r="J51" s="71"/>
      <c r="K51" s="72" t="s">
        <v>3</v>
      </c>
      <c r="L51" s="72"/>
      <c r="M51" s="72"/>
      <c r="N51" s="73" t="s">
        <v>4</v>
      </c>
      <c r="O51" s="73"/>
      <c r="P51" s="73"/>
      <c r="Q51" s="74" t="s">
        <v>5</v>
      </c>
      <c r="R51" s="74"/>
      <c r="S51" s="74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34.5" customHeight="1" x14ac:dyDescent="0.15">
      <c r="A52" s="6"/>
      <c r="B52" s="10" t="s">
        <v>6</v>
      </c>
      <c r="C52" s="10" t="s">
        <v>7</v>
      </c>
      <c r="D52" s="10" t="s">
        <v>8</v>
      </c>
      <c r="E52" s="11" t="s">
        <v>9</v>
      </c>
      <c r="F52" s="11" t="s">
        <v>10</v>
      </c>
      <c r="G52" s="12" t="s">
        <v>11</v>
      </c>
      <c r="H52" s="13" t="s">
        <v>12</v>
      </c>
      <c r="I52" s="14" t="s">
        <v>13</v>
      </c>
      <c r="J52" s="14" t="s">
        <v>14</v>
      </c>
      <c r="K52" s="11" t="s">
        <v>15</v>
      </c>
      <c r="L52" s="11" t="s">
        <v>16</v>
      </c>
      <c r="M52" s="11" t="s">
        <v>17</v>
      </c>
      <c r="N52" s="11" t="s">
        <v>18</v>
      </c>
      <c r="O52" s="11" t="s">
        <v>19</v>
      </c>
      <c r="P52" s="15" t="s">
        <v>20</v>
      </c>
      <c r="Q52" s="16" t="s">
        <v>21</v>
      </c>
      <c r="R52" s="17" t="s">
        <v>22</v>
      </c>
      <c r="S52" s="18" t="s">
        <v>23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30" customHeight="1" x14ac:dyDescent="0.15">
      <c r="A53" s="6"/>
      <c r="B53" s="19" t="s">
        <v>66</v>
      </c>
      <c r="C53" s="19"/>
      <c r="D53" s="19"/>
      <c r="E53" s="20"/>
      <c r="F53" s="20"/>
      <c r="G53" s="21"/>
      <c r="H53" s="22"/>
      <c r="I53" s="23"/>
      <c r="J53" s="23"/>
      <c r="K53" s="23"/>
      <c r="L53" s="23"/>
      <c r="M53" s="23"/>
      <c r="N53" s="23"/>
      <c r="O53" s="23"/>
      <c r="P53" s="24"/>
      <c r="Q53" s="25"/>
      <c r="R53" s="26"/>
      <c r="S53" s="26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30" customHeight="1" x14ac:dyDescent="0.15">
      <c r="A54" s="6"/>
      <c r="B54" s="27" t="s">
        <v>67</v>
      </c>
      <c r="C54" s="27" t="s">
        <v>68</v>
      </c>
      <c r="D54" s="28" t="s">
        <v>27</v>
      </c>
      <c r="E54" s="29">
        <v>46253</v>
      </c>
      <c r="F54" s="29"/>
      <c r="G54" s="30">
        <v>46262</v>
      </c>
      <c r="H54" s="31">
        <v>80</v>
      </c>
      <c r="I54" s="32">
        <v>50000</v>
      </c>
      <c r="J54" s="33">
        <f t="shared" ref="J54:J60" si="20">H54*I54</f>
        <v>4000000</v>
      </c>
      <c r="K54" s="34"/>
      <c r="L54" s="32"/>
      <c r="M54" s="33">
        <f t="shared" ref="M54:M60" si="21">K54*L54</f>
        <v>0</v>
      </c>
      <c r="N54" s="35"/>
      <c r="O54" s="35"/>
      <c r="P54" s="36"/>
      <c r="Q54" s="37">
        <v>8000000</v>
      </c>
      <c r="R54" s="38">
        <f t="shared" ref="R54:R60" si="22">J54+M54+N54+O54+P54</f>
        <v>4000000</v>
      </c>
      <c r="S54" s="39">
        <f t="shared" ref="S54:S61" si="23">R54-Q54</f>
        <v>-4000000</v>
      </c>
      <c r="T54" s="2"/>
      <c r="U54" s="2"/>
    </row>
    <row r="55" spans="1:41" ht="30" customHeight="1" x14ac:dyDescent="0.15">
      <c r="A55" s="6"/>
      <c r="B55" s="27" t="s">
        <v>69</v>
      </c>
      <c r="C55" s="27" t="s">
        <v>70</v>
      </c>
      <c r="D55" s="28" t="s">
        <v>27</v>
      </c>
      <c r="E55" s="29">
        <v>46263</v>
      </c>
      <c r="F55" s="29"/>
      <c r="G55" s="30">
        <v>46274</v>
      </c>
      <c r="H55" s="31">
        <v>160</v>
      </c>
      <c r="I55" s="32">
        <v>50000</v>
      </c>
      <c r="J55" s="33">
        <f t="shared" si="20"/>
        <v>8000000</v>
      </c>
      <c r="K55" s="34"/>
      <c r="L55" s="32"/>
      <c r="M55" s="33">
        <f t="shared" si="21"/>
        <v>0</v>
      </c>
      <c r="N55" s="35"/>
      <c r="O55" s="35"/>
      <c r="P55" s="36"/>
      <c r="Q55" s="37">
        <v>8000000</v>
      </c>
      <c r="R55" s="38">
        <f t="shared" si="22"/>
        <v>8000000</v>
      </c>
      <c r="S55" s="39">
        <f t="shared" si="23"/>
        <v>0</v>
      </c>
      <c r="T55" s="2"/>
      <c r="U55" s="2"/>
    </row>
    <row r="56" spans="1:41" ht="30" customHeight="1" x14ac:dyDescent="0.15">
      <c r="A56" s="6"/>
      <c r="B56" s="27" t="s">
        <v>71</v>
      </c>
      <c r="C56" s="27" t="s">
        <v>72</v>
      </c>
      <c r="D56" s="28" t="s">
        <v>27</v>
      </c>
      <c r="E56" s="29">
        <v>46266</v>
      </c>
      <c r="F56" s="29"/>
      <c r="G56" s="30">
        <v>46279</v>
      </c>
      <c r="H56" s="31">
        <v>200</v>
      </c>
      <c r="I56" s="32">
        <v>50000</v>
      </c>
      <c r="J56" s="33">
        <f t="shared" si="20"/>
        <v>10000000</v>
      </c>
      <c r="K56" s="34"/>
      <c r="L56" s="32"/>
      <c r="M56" s="33">
        <f t="shared" si="21"/>
        <v>0</v>
      </c>
      <c r="N56" s="35"/>
      <c r="O56" s="35"/>
      <c r="P56" s="36"/>
      <c r="Q56" s="37">
        <v>10000000</v>
      </c>
      <c r="R56" s="38">
        <f t="shared" si="22"/>
        <v>10000000</v>
      </c>
      <c r="S56" s="39">
        <f t="shared" si="23"/>
        <v>0</v>
      </c>
      <c r="T56" s="2"/>
      <c r="U56" s="2"/>
    </row>
    <row r="57" spans="1:41" ht="30" customHeight="1" x14ac:dyDescent="0.15">
      <c r="A57" s="6"/>
      <c r="B57" s="27" t="s">
        <v>73</v>
      </c>
      <c r="C57" s="27" t="s">
        <v>74</v>
      </c>
      <c r="D57" s="28" t="s">
        <v>27</v>
      </c>
      <c r="E57" s="29">
        <v>46280</v>
      </c>
      <c r="F57" s="29"/>
      <c r="G57" s="30">
        <v>46315</v>
      </c>
      <c r="H57" s="31">
        <v>700</v>
      </c>
      <c r="I57" s="32">
        <v>50000</v>
      </c>
      <c r="J57" s="33">
        <f t="shared" si="20"/>
        <v>35000000</v>
      </c>
      <c r="K57" s="34"/>
      <c r="L57" s="32"/>
      <c r="M57" s="33">
        <f t="shared" si="21"/>
        <v>0</v>
      </c>
      <c r="N57" s="35"/>
      <c r="O57" s="35"/>
      <c r="P57" s="36"/>
      <c r="Q57" s="37">
        <v>35000000</v>
      </c>
      <c r="R57" s="38">
        <f t="shared" si="22"/>
        <v>35000000</v>
      </c>
      <c r="S57" s="39">
        <f t="shared" si="23"/>
        <v>0</v>
      </c>
      <c r="T57" s="2"/>
      <c r="U57" s="2"/>
    </row>
    <row r="58" spans="1:41" ht="30" customHeight="1" x14ac:dyDescent="0.15">
      <c r="A58" s="6"/>
      <c r="B58" s="27" t="s">
        <v>75</v>
      </c>
      <c r="C58" s="27" t="s">
        <v>76</v>
      </c>
      <c r="D58" s="28" t="s">
        <v>27</v>
      </c>
      <c r="E58" s="29">
        <v>46280</v>
      </c>
      <c r="F58" s="29"/>
      <c r="G58" s="30">
        <v>46305</v>
      </c>
      <c r="H58" s="31">
        <v>400</v>
      </c>
      <c r="I58" s="32">
        <v>50000</v>
      </c>
      <c r="J58" s="33">
        <f t="shared" si="20"/>
        <v>20000000</v>
      </c>
      <c r="K58" s="34"/>
      <c r="L58" s="32"/>
      <c r="M58" s="33">
        <f t="shared" si="21"/>
        <v>0</v>
      </c>
      <c r="N58" s="35"/>
      <c r="O58" s="35"/>
      <c r="P58" s="36"/>
      <c r="Q58" s="37">
        <v>20000000</v>
      </c>
      <c r="R58" s="38">
        <f t="shared" si="22"/>
        <v>20000000</v>
      </c>
      <c r="S58" s="39">
        <f t="shared" si="23"/>
        <v>0</v>
      </c>
      <c r="T58" s="2"/>
      <c r="U58" s="2"/>
    </row>
    <row r="59" spans="1:41" ht="30" customHeight="1" x14ac:dyDescent="0.15">
      <c r="A59" s="6"/>
      <c r="B59" s="27" t="s">
        <v>77</v>
      </c>
      <c r="C59" s="27" t="s">
        <v>78</v>
      </c>
      <c r="D59" s="28" t="s">
        <v>27</v>
      </c>
      <c r="E59" s="29">
        <v>46310</v>
      </c>
      <c r="F59" s="29"/>
      <c r="G59" s="30">
        <v>46320</v>
      </c>
      <c r="H59" s="31">
        <v>160</v>
      </c>
      <c r="I59" s="32">
        <v>50000</v>
      </c>
      <c r="J59" s="33">
        <f t="shared" si="20"/>
        <v>8000000</v>
      </c>
      <c r="K59" s="34"/>
      <c r="L59" s="32"/>
      <c r="M59" s="33">
        <f t="shared" si="21"/>
        <v>0</v>
      </c>
      <c r="N59" s="35"/>
      <c r="O59" s="35"/>
      <c r="P59" s="36"/>
      <c r="Q59" s="37">
        <v>8000000</v>
      </c>
      <c r="R59" s="38">
        <f t="shared" si="22"/>
        <v>8000000</v>
      </c>
      <c r="S59" s="39">
        <f t="shared" si="23"/>
        <v>0</v>
      </c>
      <c r="T59" s="2"/>
      <c r="U59" s="2"/>
    </row>
    <row r="60" spans="1:41" ht="30" customHeight="1" x14ac:dyDescent="0.15">
      <c r="A60" s="6"/>
      <c r="B60" s="27" t="s">
        <v>54</v>
      </c>
      <c r="C60" s="27" t="s">
        <v>79</v>
      </c>
      <c r="D60" s="28" t="s">
        <v>27</v>
      </c>
      <c r="E60" s="29">
        <v>46275</v>
      </c>
      <c r="F60" s="29"/>
      <c r="G60" s="30">
        <v>46285</v>
      </c>
      <c r="H60" s="31">
        <v>120</v>
      </c>
      <c r="I60" s="32">
        <v>50000</v>
      </c>
      <c r="J60" s="33">
        <f t="shared" si="20"/>
        <v>6000000</v>
      </c>
      <c r="K60" s="34"/>
      <c r="L60" s="32"/>
      <c r="M60" s="33">
        <f t="shared" si="21"/>
        <v>0</v>
      </c>
      <c r="N60" s="35"/>
      <c r="O60" s="35"/>
      <c r="P60" s="36"/>
      <c r="Q60" s="37">
        <v>6000000</v>
      </c>
      <c r="R60" s="38">
        <f t="shared" si="22"/>
        <v>6000000</v>
      </c>
      <c r="S60" s="39">
        <f t="shared" si="23"/>
        <v>0</v>
      </c>
      <c r="T60" s="2"/>
      <c r="U60" s="2"/>
    </row>
    <row r="61" spans="1:41" ht="30" customHeight="1" x14ac:dyDescent="0.15">
      <c r="A61" s="6"/>
      <c r="B61" s="40" t="s">
        <v>32</v>
      </c>
      <c r="C61" s="40"/>
      <c r="D61" s="41"/>
      <c r="E61" s="42"/>
      <c r="F61" s="42"/>
      <c r="G61" s="43"/>
      <c r="H61" s="44"/>
      <c r="I61" s="45"/>
      <c r="J61" s="46">
        <f>SUM(J54:J60)</f>
        <v>91000000</v>
      </c>
      <c r="K61" s="46"/>
      <c r="L61" s="46"/>
      <c r="M61" s="46">
        <f>SUM(M54:M60)</f>
        <v>0</v>
      </c>
      <c r="N61" s="46">
        <f>SUM(N54:N60)</f>
        <v>0</v>
      </c>
      <c r="O61" s="46">
        <f>SUM(O54:O60)</f>
        <v>0</v>
      </c>
      <c r="P61" s="47">
        <f>SUM(P54:P60)</f>
        <v>0</v>
      </c>
      <c r="Q61" s="48">
        <f>SUM(Q54:Q60)</f>
        <v>95000000</v>
      </c>
      <c r="R61" s="49">
        <f>SUM(J61:P61)</f>
        <v>91000000</v>
      </c>
      <c r="S61" s="49">
        <f t="shared" si="23"/>
        <v>-4000000</v>
      </c>
      <c r="T61" s="2"/>
      <c r="U61" s="2"/>
    </row>
    <row r="62" spans="1:41" ht="10.5" customHeight="1" x14ac:dyDescent="0.15">
      <c r="A62" s="6"/>
      <c r="B62" s="50"/>
      <c r="C62" s="50"/>
      <c r="D62" s="50"/>
      <c r="E62" s="50"/>
      <c r="F62" s="50"/>
      <c r="G62" s="50"/>
      <c r="H62" s="51"/>
      <c r="I62" s="52"/>
      <c r="J62" s="52"/>
      <c r="K62" s="51"/>
      <c r="L62" s="52"/>
      <c r="M62" s="52"/>
      <c r="N62" s="51"/>
      <c r="O62" s="51"/>
      <c r="P62" s="52"/>
      <c r="Q62" s="53"/>
      <c r="R62" s="52"/>
      <c r="S62" s="54"/>
      <c r="T62" s="2"/>
      <c r="U62" s="2"/>
    </row>
    <row r="63" spans="1:41" ht="34.5" customHeight="1" x14ac:dyDescent="0.15">
      <c r="A63" s="6"/>
      <c r="B63" s="7" t="s">
        <v>1</v>
      </c>
      <c r="C63" s="7"/>
      <c r="D63" s="7"/>
      <c r="E63" s="7"/>
      <c r="F63" s="7"/>
      <c r="G63" s="8"/>
      <c r="H63" s="71" t="s">
        <v>2</v>
      </c>
      <c r="I63" s="71"/>
      <c r="J63" s="71"/>
      <c r="K63" s="72" t="s">
        <v>3</v>
      </c>
      <c r="L63" s="72"/>
      <c r="M63" s="72"/>
      <c r="N63" s="73" t="s">
        <v>4</v>
      </c>
      <c r="O63" s="73"/>
      <c r="P63" s="73"/>
      <c r="Q63" s="74" t="s">
        <v>5</v>
      </c>
      <c r="R63" s="74"/>
      <c r="S63" s="74"/>
      <c r="T63" s="2"/>
      <c r="U63" s="2"/>
    </row>
    <row r="64" spans="1:41" ht="34.5" customHeight="1" x14ac:dyDescent="0.15">
      <c r="A64" s="6"/>
      <c r="B64" s="10" t="s">
        <v>6</v>
      </c>
      <c r="C64" s="10" t="s">
        <v>7</v>
      </c>
      <c r="D64" s="10" t="s">
        <v>8</v>
      </c>
      <c r="E64" s="11" t="s">
        <v>9</v>
      </c>
      <c r="F64" s="11" t="s">
        <v>10</v>
      </c>
      <c r="G64" s="12" t="s">
        <v>11</v>
      </c>
      <c r="H64" s="13" t="s">
        <v>12</v>
      </c>
      <c r="I64" s="14" t="s">
        <v>13</v>
      </c>
      <c r="J64" s="14" t="s">
        <v>14</v>
      </c>
      <c r="K64" s="11" t="s">
        <v>15</v>
      </c>
      <c r="L64" s="11" t="s">
        <v>16</v>
      </c>
      <c r="M64" s="11" t="s">
        <v>17</v>
      </c>
      <c r="N64" s="11" t="s">
        <v>18</v>
      </c>
      <c r="O64" s="11" t="s">
        <v>19</v>
      </c>
      <c r="P64" s="15" t="s">
        <v>20</v>
      </c>
      <c r="Q64" s="16" t="s">
        <v>21</v>
      </c>
      <c r="R64" s="17" t="s">
        <v>22</v>
      </c>
      <c r="S64" s="18" t="s">
        <v>23</v>
      </c>
      <c r="T64" s="2"/>
      <c r="U64" s="2"/>
    </row>
    <row r="65" spans="1:21" ht="30" customHeight="1" x14ac:dyDescent="0.15">
      <c r="A65" s="6"/>
      <c r="B65" s="19" t="s">
        <v>80</v>
      </c>
      <c r="C65" s="19"/>
      <c r="D65" s="19"/>
      <c r="E65" s="20"/>
      <c r="F65" s="20"/>
      <c r="G65" s="21"/>
      <c r="H65" s="22"/>
      <c r="I65" s="23"/>
      <c r="J65" s="23"/>
      <c r="K65" s="23"/>
      <c r="L65" s="23"/>
      <c r="M65" s="23"/>
      <c r="N65" s="23"/>
      <c r="O65" s="23"/>
      <c r="P65" s="24"/>
      <c r="Q65" s="25"/>
      <c r="R65" s="26"/>
      <c r="S65" s="26"/>
      <c r="T65" s="2"/>
      <c r="U65" s="2"/>
    </row>
    <row r="66" spans="1:21" ht="30" customHeight="1" x14ac:dyDescent="0.15">
      <c r="A66" s="6"/>
      <c r="B66" s="27" t="s">
        <v>81</v>
      </c>
      <c r="C66" s="27" t="s">
        <v>82</v>
      </c>
      <c r="D66" s="28" t="s">
        <v>27</v>
      </c>
      <c r="E66" s="29">
        <v>46321</v>
      </c>
      <c r="F66" s="29"/>
      <c r="G66" s="30">
        <v>46325</v>
      </c>
      <c r="H66" s="31">
        <v>60</v>
      </c>
      <c r="I66" s="32">
        <v>25000</v>
      </c>
      <c r="J66" s="33">
        <f t="shared" ref="J66:J70" si="24">H66*I66</f>
        <v>1500000</v>
      </c>
      <c r="K66" s="34"/>
      <c r="L66" s="32"/>
      <c r="M66" s="33">
        <f t="shared" ref="M66:M70" si="25">K66*L66</f>
        <v>0</v>
      </c>
      <c r="N66" s="35"/>
      <c r="O66" s="35"/>
      <c r="P66" s="36"/>
      <c r="Q66" s="37">
        <v>1500000</v>
      </c>
      <c r="R66" s="38">
        <f t="shared" ref="R66:R70" si="26">J66+M66+N66+O66+P66</f>
        <v>1500000</v>
      </c>
      <c r="S66" s="39">
        <f t="shared" ref="S66:S71" si="27">R66-Q66</f>
        <v>0</v>
      </c>
      <c r="T66" s="2"/>
      <c r="U66" s="2"/>
    </row>
    <row r="67" spans="1:21" ht="30" customHeight="1" x14ac:dyDescent="0.15">
      <c r="A67" s="6"/>
      <c r="B67" s="27" t="s">
        <v>83</v>
      </c>
      <c r="C67" s="27" t="s">
        <v>84</v>
      </c>
      <c r="D67" s="28" t="s">
        <v>27</v>
      </c>
      <c r="E67" s="29">
        <v>46323</v>
      </c>
      <c r="F67" s="29"/>
      <c r="G67" s="30">
        <v>46327</v>
      </c>
      <c r="H67" s="31">
        <v>40</v>
      </c>
      <c r="I67" s="32">
        <v>25000</v>
      </c>
      <c r="J67" s="33">
        <f t="shared" si="24"/>
        <v>1000000</v>
      </c>
      <c r="K67" s="34"/>
      <c r="L67" s="32"/>
      <c r="M67" s="33">
        <f t="shared" si="25"/>
        <v>0</v>
      </c>
      <c r="N67" s="35"/>
      <c r="O67" s="35"/>
      <c r="P67" s="36"/>
      <c r="Q67" s="37">
        <v>1000000</v>
      </c>
      <c r="R67" s="38">
        <f t="shared" si="26"/>
        <v>1000000</v>
      </c>
      <c r="S67" s="39">
        <f t="shared" si="27"/>
        <v>0</v>
      </c>
      <c r="T67" s="2"/>
      <c r="U67" s="2"/>
    </row>
    <row r="68" spans="1:21" ht="30" customHeight="1" x14ac:dyDescent="0.15">
      <c r="A68" s="6"/>
      <c r="B68" s="27" t="s">
        <v>85</v>
      </c>
      <c r="C68" s="27" t="s">
        <v>86</v>
      </c>
      <c r="D68" s="28" t="s">
        <v>27</v>
      </c>
      <c r="E68" s="29">
        <v>46324</v>
      </c>
      <c r="F68" s="29"/>
      <c r="G68" s="30">
        <v>46329</v>
      </c>
      <c r="H68" s="31">
        <v>60</v>
      </c>
      <c r="I68" s="32">
        <v>25000</v>
      </c>
      <c r="J68" s="33">
        <f t="shared" si="24"/>
        <v>1500000</v>
      </c>
      <c r="K68" s="34"/>
      <c r="L68" s="32"/>
      <c r="M68" s="33">
        <f t="shared" si="25"/>
        <v>0</v>
      </c>
      <c r="N68" s="35"/>
      <c r="O68" s="35"/>
      <c r="P68" s="36"/>
      <c r="Q68" s="37">
        <v>1500000</v>
      </c>
      <c r="R68" s="38">
        <f t="shared" si="26"/>
        <v>1500000</v>
      </c>
      <c r="S68" s="39">
        <f t="shared" si="27"/>
        <v>0</v>
      </c>
      <c r="T68" s="2"/>
      <c r="U68" s="2"/>
    </row>
    <row r="69" spans="1:21" ht="30" customHeight="1" x14ac:dyDescent="0.15">
      <c r="A69" s="6"/>
      <c r="B69" s="27" t="s">
        <v>87</v>
      </c>
      <c r="C69" s="27" t="s">
        <v>88</v>
      </c>
      <c r="D69" s="28" t="s">
        <v>27</v>
      </c>
      <c r="E69" s="29">
        <v>46328</v>
      </c>
      <c r="F69" s="29"/>
      <c r="G69" s="30">
        <v>46331</v>
      </c>
      <c r="H69" s="31">
        <v>40</v>
      </c>
      <c r="I69" s="32">
        <v>25000</v>
      </c>
      <c r="J69" s="33">
        <f t="shared" si="24"/>
        <v>1000000</v>
      </c>
      <c r="K69" s="34"/>
      <c r="L69" s="32"/>
      <c r="M69" s="33">
        <f t="shared" si="25"/>
        <v>0</v>
      </c>
      <c r="N69" s="35"/>
      <c r="O69" s="35"/>
      <c r="P69" s="36"/>
      <c r="Q69" s="37">
        <v>1000000</v>
      </c>
      <c r="R69" s="38">
        <f t="shared" si="26"/>
        <v>1000000</v>
      </c>
      <c r="S69" s="39">
        <f t="shared" si="27"/>
        <v>0</v>
      </c>
      <c r="T69" s="2"/>
      <c r="U69" s="2"/>
    </row>
    <row r="70" spans="1:21" ht="30" customHeight="1" x14ac:dyDescent="0.15">
      <c r="A70" s="6"/>
      <c r="B70" s="27" t="s">
        <v>89</v>
      </c>
      <c r="C70" s="27" t="s">
        <v>90</v>
      </c>
      <c r="D70" s="28" t="s">
        <v>27</v>
      </c>
      <c r="E70" s="29">
        <v>46329</v>
      </c>
      <c r="F70" s="29"/>
      <c r="G70" s="30">
        <v>46334</v>
      </c>
      <c r="H70" s="31">
        <v>80</v>
      </c>
      <c r="I70" s="32">
        <v>25000</v>
      </c>
      <c r="J70" s="33">
        <f t="shared" si="24"/>
        <v>2000000</v>
      </c>
      <c r="K70" s="34"/>
      <c r="L70" s="32"/>
      <c r="M70" s="33">
        <f t="shared" si="25"/>
        <v>0</v>
      </c>
      <c r="N70" s="35"/>
      <c r="O70" s="35"/>
      <c r="P70" s="36"/>
      <c r="Q70" s="37">
        <v>2000000</v>
      </c>
      <c r="R70" s="38">
        <f t="shared" si="26"/>
        <v>2000000</v>
      </c>
      <c r="S70" s="39">
        <f t="shared" si="27"/>
        <v>0</v>
      </c>
      <c r="T70" s="2"/>
      <c r="U70" s="2"/>
    </row>
    <row r="71" spans="1:21" ht="30" customHeight="1" x14ac:dyDescent="0.15">
      <c r="A71" s="6"/>
      <c r="B71" s="40" t="s">
        <v>32</v>
      </c>
      <c r="C71" s="40"/>
      <c r="D71" s="41"/>
      <c r="E71" s="42"/>
      <c r="F71" s="42"/>
      <c r="G71" s="43"/>
      <c r="H71" s="44"/>
      <c r="I71" s="45"/>
      <c r="J71" s="46">
        <f>SUM(J66:J70)</f>
        <v>7000000</v>
      </c>
      <c r="K71" s="46"/>
      <c r="L71" s="46"/>
      <c r="M71" s="46">
        <f>SUM(M66:M70)</f>
        <v>0</v>
      </c>
      <c r="N71" s="46">
        <f>SUM(N66:N70)</f>
        <v>0</v>
      </c>
      <c r="O71" s="46">
        <f>SUM(O66:O70)</f>
        <v>0</v>
      </c>
      <c r="P71" s="47">
        <f>SUM(P66:P70)</f>
        <v>0</v>
      </c>
      <c r="Q71" s="48">
        <f>SUM(Q66:Q70)</f>
        <v>7000000</v>
      </c>
      <c r="R71" s="49">
        <f>SUM(J71:P71)</f>
        <v>7000000</v>
      </c>
      <c r="S71" s="49">
        <f t="shared" si="27"/>
        <v>0</v>
      </c>
      <c r="T71" s="2"/>
      <c r="U71" s="2"/>
    </row>
    <row r="72" spans="1:21" ht="10.5" customHeight="1" x14ac:dyDescent="0.15">
      <c r="A72" s="6"/>
      <c r="B72" s="50"/>
      <c r="C72" s="50"/>
      <c r="D72" s="50"/>
      <c r="E72" s="50"/>
      <c r="F72" s="50"/>
      <c r="G72" s="50"/>
      <c r="H72" s="51"/>
      <c r="I72" s="52"/>
      <c r="J72" s="52"/>
      <c r="K72" s="51"/>
      <c r="L72" s="52"/>
      <c r="M72" s="52"/>
      <c r="N72" s="51"/>
      <c r="O72" s="51"/>
      <c r="P72" s="52"/>
      <c r="Q72" s="53"/>
      <c r="R72" s="52"/>
      <c r="S72" s="54"/>
      <c r="T72" s="2"/>
      <c r="U72" s="2"/>
    </row>
    <row r="73" spans="1:21" ht="34.5" customHeight="1" x14ac:dyDescent="0.15">
      <c r="A73" s="6"/>
      <c r="B73" s="7" t="s">
        <v>1</v>
      </c>
      <c r="C73" s="7"/>
      <c r="D73" s="7"/>
      <c r="E73" s="7"/>
      <c r="F73" s="7"/>
      <c r="G73" s="8"/>
      <c r="H73" s="71" t="s">
        <v>2</v>
      </c>
      <c r="I73" s="71"/>
      <c r="J73" s="71"/>
      <c r="K73" s="72" t="s">
        <v>3</v>
      </c>
      <c r="L73" s="72"/>
      <c r="M73" s="72"/>
      <c r="N73" s="73" t="s">
        <v>4</v>
      </c>
      <c r="O73" s="73"/>
      <c r="P73" s="73"/>
      <c r="Q73" s="74" t="s">
        <v>5</v>
      </c>
      <c r="R73" s="74"/>
      <c r="S73" s="74"/>
      <c r="T73" s="2"/>
      <c r="U73" s="2"/>
    </row>
    <row r="74" spans="1:21" ht="34.5" customHeight="1" x14ac:dyDescent="0.15">
      <c r="A74" s="6"/>
      <c r="B74" s="10" t="s">
        <v>6</v>
      </c>
      <c r="C74" s="10" t="s">
        <v>7</v>
      </c>
      <c r="D74" s="10" t="s">
        <v>8</v>
      </c>
      <c r="E74" s="11" t="s">
        <v>9</v>
      </c>
      <c r="F74" s="11" t="s">
        <v>10</v>
      </c>
      <c r="G74" s="12" t="s">
        <v>11</v>
      </c>
      <c r="H74" s="13" t="s">
        <v>12</v>
      </c>
      <c r="I74" s="14" t="s">
        <v>13</v>
      </c>
      <c r="J74" s="14" t="s">
        <v>14</v>
      </c>
      <c r="K74" s="11" t="s">
        <v>15</v>
      </c>
      <c r="L74" s="11" t="s">
        <v>16</v>
      </c>
      <c r="M74" s="11" t="s">
        <v>17</v>
      </c>
      <c r="N74" s="11" t="s">
        <v>18</v>
      </c>
      <c r="O74" s="11" t="s">
        <v>19</v>
      </c>
      <c r="P74" s="15" t="s">
        <v>20</v>
      </c>
      <c r="Q74" s="16" t="s">
        <v>21</v>
      </c>
      <c r="R74" s="17" t="s">
        <v>22</v>
      </c>
      <c r="S74" s="18" t="s">
        <v>23</v>
      </c>
      <c r="T74" s="2"/>
      <c r="U74" s="2"/>
    </row>
    <row r="75" spans="1:21" ht="30" customHeight="1" x14ac:dyDescent="0.15">
      <c r="A75" s="6"/>
      <c r="B75" s="19" t="s">
        <v>91</v>
      </c>
      <c r="C75" s="19"/>
      <c r="D75" s="19"/>
      <c r="E75" s="20"/>
      <c r="F75" s="20"/>
      <c r="G75" s="21"/>
      <c r="H75" s="22"/>
      <c r="I75" s="23"/>
      <c r="J75" s="23"/>
      <c r="K75" s="23"/>
      <c r="L75" s="23"/>
      <c r="M75" s="23"/>
      <c r="N75" s="23"/>
      <c r="O75" s="23"/>
      <c r="P75" s="24"/>
      <c r="Q75" s="25"/>
      <c r="R75" s="26"/>
      <c r="S75" s="26"/>
      <c r="T75" s="2"/>
      <c r="U75" s="2"/>
    </row>
    <row r="76" spans="1:21" ht="30" customHeight="1" x14ac:dyDescent="0.15">
      <c r="A76" s="6"/>
      <c r="B76" s="27" t="s">
        <v>92</v>
      </c>
      <c r="C76" s="27" t="s">
        <v>93</v>
      </c>
      <c r="D76" s="28" t="s">
        <v>27</v>
      </c>
      <c r="E76" s="29">
        <v>46335</v>
      </c>
      <c r="F76" s="29"/>
      <c r="G76" s="30">
        <v>46336</v>
      </c>
      <c r="H76" s="31"/>
      <c r="I76" s="32"/>
      <c r="J76" s="33">
        <f t="shared" ref="J76:J79" si="28">H76*I76</f>
        <v>0</v>
      </c>
      <c r="K76" s="34"/>
      <c r="L76" s="32"/>
      <c r="M76" s="33">
        <f t="shared" ref="M76:M79" si="29">K76*L76</f>
        <v>0</v>
      </c>
      <c r="N76" s="35"/>
      <c r="O76" s="35"/>
      <c r="P76" s="36">
        <v>500000</v>
      </c>
      <c r="Q76" s="37">
        <v>500000</v>
      </c>
      <c r="R76" s="38">
        <f t="shared" ref="R76:R79" si="30">J76+M76+N76+O76+P76</f>
        <v>500000</v>
      </c>
      <c r="S76" s="39">
        <f t="shared" ref="S76:S80" si="31">R76-Q76</f>
        <v>0</v>
      </c>
      <c r="T76" s="2"/>
      <c r="U76" s="2"/>
    </row>
    <row r="77" spans="1:21" ht="30" customHeight="1" x14ac:dyDescent="0.15">
      <c r="A77" s="6"/>
      <c r="B77" s="27" t="s">
        <v>94</v>
      </c>
      <c r="C77" s="27" t="s">
        <v>93</v>
      </c>
      <c r="D77" s="28" t="s">
        <v>27</v>
      </c>
      <c r="E77" s="29">
        <v>46335</v>
      </c>
      <c r="F77" s="29"/>
      <c r="G77" s="30">
        <v>46336</v>
      </c>
      <c r="H77" s="31"/>
      <c r="I77" s="32"/>
      <c r="J77" s="33">
        <f t="shared" si="28"/>
        <v>0</v>
      </c>
      <c r="K77" s="34"/>
      <c r="L77" s="32"/>
      <c r="M77" s="33">
        <f t="shared" si="29"/>
        <v>0</v>
      </c>
      <c r="N77" s="35"/>
      <c r="O77" s="35"/>
      <c r="P77" s="36">
        <v>500000</v>
      </c>
      <c r="Q77" s="37">
        <v>500000</v>
      </c>
      <c r="R77" s="38">
        <f t="shared" si="30"/>
        <v>500000</v>
      </c>
      <c r="S77" s="39">
        <f t="shared" si="31"/>
        <v>0</v>
      </c>
      <c r="T77" s="2"/>
      <c r="U77" s="2"/>
    </row>
    <row r="78" spans="1:21" ht="30" customHeight="1" x14ac:dyDescent="0.15">
      <c r="A78" s="6"/>
      <c r="B78" s="27" t="s">
        <v>95</v>
      </c>
      <c r="C78" s="27" t="s">
        <v>96</v>
      </c>
      <c r="D78" s="28" t="s">
        <v>27</v>
      </c>
      <c r="E78" s="29">
        <v>46336</v>
      </c>
      <c r="F78" s="29"/>
      <c r="G78" s="30">
        <v>46339</v>
      </c>
      <c r="H78" s="31"/>
      <c r="I78" s="32"/>
      <c r="J78" s="33">
        <f t="shared" si="28"/>
        <v>0</v>
      </c>
      <c r="K78" s="34"/>
      <c r="L78" s="32"/>
      <c r="M78" s="33">
        <f t="shared" si="29"/>
        <v>0</v>
      </c>
      <c r="N78" s="35"/>
      <c r="O78" s="35"/>
      <c r="P78" s="36">
        <v>1000000</v>
      </c>
      <c r="Q78" s="37">
        <v>1000000</v>
      </c>
      <c r="R78" s="38">
        <f t="shared" si="30"/>
        <v>1000000</v>
      </c>
      <c r="S78" s="39">
        <f t="shared" si="31"/>
        <v>0</v>
      </c>
      <c r="T78" s="2"/>
      <c r="U78" s="2"/>
    </row>
    <row r="79" spans="1:21" ht="30" customHeight="1" x14ac:dyDescent="0.15">
      <c r="A79" s="6"/>
      <c r="B79" s="27" t="s">
        <v>97</v>
      </c>
      <c r="C79" s="27" t="s">
        <v>98</v>
      </c>
      <c r="D79" s="28" t="s">
        <v>27</v>
      </c>
      <c r="E79" s="29">
        <v>46335</v>
      </c>
      <c r="F79" s="29"/>
      <c r="G79" s="30">
        <v>46338</v>
      </c>
      <c r="H79" s="31"/>
      <c r="I79" s="32"/>
      <c r="J79" s="33">
        <f t="shared" si="28"/>
        <v>0</v>
      </c>
      <c r="K79" s="34"/>
      <c r="L79" s="32"/>
      <c r="M79" s="33">
        <f t="shared" si="29"/>
        <v>0</v>
      </c>
      <c r="N79" s="35"/>
      <c r="O79" s="35"/>
      <c r="P79" s="36">
        <v>500000</v>
      </c>
      <c r="Q79" s="37">
        <v>500000</v>
      </c>
      <c r="R79" s="38">
        <f t="shared" si="30"/>
        <v>500000</v>
      </c>
      <c r="S79" s="39">
        <f t="shared" si="31"/>
        <v>0</v>
      </c>
      <c r="T79" s="2"/>
      <c r="U79" s="2"/>
    </row>
    <row r="80" spans="1:21" ht="30" customHeight="1" x14ac:dyDescent="0.15">
      <c r="A80" s="6"/>
      <c r="B80" s="40" t="s">
        <v>32</v>
      </c>
      <c r="C80" s="40"/>
      <c r="D80" s="41"/>
      <c r="E80" s="42"/>
      <c r="F80" s="42"/>
      <c r="G80" s="43"/>
      <c r="H80" s="44"/>
      <c r="I80" s="45"/>
      <c r="J80" s="46">
        <f>SUM(J76:J79)</f>
        <v>0</v>
      </c>
      <c r="K80" s="46"/>
      <c r="L80" s="46"/>
      <c r="M80" s="46">
        <f>SUM(M76:M79)</f>
        <v>0</v>
      </c>
      <c r="N80" s="46">
        <f>SUM(N76:N79)</f>
        <v>0</v>
      </c>
      <c r="O80" s="46">
        <f>SUM(O76:O79)</f>
        <v>0</v>
      </c>
      <c r="P80" s="47">
        <f>SUM(P76:P79)</f>
        <v>2500000</v>
      </c>
      <c r="Q80" s="48">
        <f>SUM(Q76:Q79)</f>
        <v>2500000</v>
      </c>
      <c r="R80" s="49">
        <f>SUM(J80:P80)</f>
        <v>2500000</v>
      </c>
      <c r="S80" s="49">
        <f t="shared" si="31"/>
        <v>0</v>
      </c>
      <c r="T80" s="2"/>
      <c r="U80" s="2"/>
    </row>
    <row r="81" spans="1:21" ht="10.5" customHeight="1" x14ac:dyDescent="0.15">
      <c r="A81" s="6"/>
      <c r="B81" s="50"/>
      <c r="C81" s="50"/>
      <c r="D81" s="50"/>
      <c r="E81" s="50"/>
      <c r="F81" s="50"/>
      <c r="G81" s="50"/>
      <c r="H81" s="51"/>
      <c r="I81" s="52"/>
      <c r="J81" s="52"/>
      <c r="K81" s="51"/>
      <c r="L81" s="52"/>
      <c r="M81" s="52"/>
      <c r="N81" s="51"/>
      <c r="O81" s="51"/>
      <c r="P81" s="52"/>
      <c r="Q81" s="53"/>
      <c r="R81" s="52"/>
      <c r="S81" s="54"/>
      <c r="T81" s="2"/>
      <c r="U81" s="2"/>
    </row>
    <row r="82" spans="1:21" ht="34.5" customHeight="1" x14ac:dyDescent="0.15">
      <c r="A82" s="6"/>
      <c r="B82" s="7" t="s">
        <v>1</v>
      </c>
      <c r="C82" s="7"/>
      <c r="D82" s="7"/>
      <c r="E82" s="7"/>
      <c r="F82" s="7"/>
      <c r="G82" s="8"/>
      <c r="H82" s="71" t="s">
        <v>2</v>
      </c>
      <c r="I82" s="71"/>
      <c r="J82" s="71"/>
      <c r="K82" s="72" t="s">
        <v>3</v>
      </c>
      <c r="L82" s="72"/>
      <c r="M82" s="72"/>
      <c r="N82" s="73" t="s">
        <v>4</v>
      </c>
      <c r="O82" s="73"/>
      <c r="P82" s="73"/>
      <c r="Q82" s="74" t="s">
        <v>5</v>
      </c>
      <c r="R82" s="74"/>
      <c r="S82" s="74"/>
      <c r="T82" s="2"/>
      <c r="U82" s="2"/>
    </row>
    <row r="83" spans="1:21" ht="34.5" customHeight="1" x14ac:dyDescent="0.15">
      <c r="A83" s="6"/>
      <c r="B83" s="10" t="s">
        <v>6</v>
      </c>
      <c r="C83" s="10" t="s">
        <v>7</v>
      </c>
      <c r="D83" s="10" t="s">
        <v>8</v>
      </c>
      <c r="E83" s="11" t="s">
        <v>9</v>
      </c>
      <c r="F83" s="11" t="s">
        <v>10</v>
      </c>
      <c r="G83" s="12" t="s">
        <v>11</v>
      </c>
      <c r="H83" s="13" t="s">
        <v>12</v>
      </c>
      <c r="I83" s="14" t="s">
        <v>13</v>
      </c>
      <c r="J83" s="14" t="s">
        <v>14</v>
      </c>
      <c r="K83" s="11" t="s">
        <v>15</v>
      </c>
      <c r="L83" s="11" t="s">
        <v>16</v>
      </c>
      <c r="M83" s="11" t="s">
        <v>17</v>
      </c>
      <c r="N83" s="11" t="s">
        <v>18</v>
      </c>
      <c r="O83" s="11" t="s">
        <v>19</v>
      </c>
      <c r="P83" s="15" t="s">
        <v>20</v>
      </c>
      <c r="Q83" s="16" t="s">
        <v>21</v>
      </c>
      <c r="R83" s="17" t="s">
        <v>22</v>
      </c>
      <c r="S83" s="18" t="s">
        <v>23</v>
      </c>
      <c r="T83" s="2"/>
      <c r="U83" s="2"/>
    </row>
    <row r="84" spans="1:21" ht="30" customHeight="1" x14ac:dyDescent="0.15">
      <c r="A84" s="6"/>
      <c r="B84" s="19" t="s">
        <v>99</v>
      </c>
      <c r="C84" s="19"/>
      <c r="D84" s="19"/>
      <c r="E84" s="20"/>
      <c r="F84" s="20"/>
      <c r="G84" s="21"/>
      <c r="H84" s="22"/>
      <c r="I84" s="23"/>
      <c r="J84" s="23"/>
      <c r="K84" s="23"/>
      <c r="L84" s="23"/>
      <c r="M84" s="23"/>
      <c r="N84" s="23"/>
      <c r="O84" s="23"/>
      <c r="P84" s="24"/>
      <c r="Q84" s="25"/>
      <c r="R84" s="26"/>
      <c r="S84" s="26"/>
      <c r="T84" s="2"/>
      <c r="U84" s="2"/>
    </row>
    <row r="85" spans="1:21" ht="30" customHeight="1" x14ac:dyDescent="0.15">
      <c r="A85" s="6"/>
      <c r="B85" s="27" t="s">
        <v>100</v>
      </c>
      <c r="C85" s="27" t="s">
        <v>101</v>
      </c>
      <c r="D85" s="28" t="s">
        <v>27</v>
      </c>
      <c r="E85" s="29">
        <v>46253</v>
      </c>
      <c r="F85" s="29"/>
      <c r="G85" s="30">
        <v>46341</v>
      </c>
      <c r="H85" s="31"/>
      <c r="I85" s="32"/>
      <c r="J85" s="33">
        <f t="shared" ref="J85:J90" si="32">H85*I85</f>
        <v>0</v>
      </c>
      <c r="K85" s="34"/>
      <c r="L85" s="32"/>
      <c r="M85" s="33">
        <f t="shared" ref="M85:M90" si="33">K85*L85</f>
        <v>0</v>
      </c>
      <c r="N85" s="35"/>
      <c r="O85" s="35"/>
      <c r="P85" s="36">
        <v>2400000</v>
      </c>
      <c r="Q85" s="37">
        <v>2400000</v>
      </c>
      <c r="R85" s="38">
        <f t="shared" ref="R85:R90" si="34">J85+M85+N85+O85+P85</f>
        <v>2400000</v>
      </c>
      <c r="S85" s="39">
        <f t="shared" ref="S85:S91" si="35">R85-Q85</f>
        <v>0</v>
      </c>
      <c r="T85" s="2"/>
      <c r="U85" s="2"/>
    </row>
    <row r="86" spans="1:21" ht="30" customHeight="1" x14ac:dyDescent="0.15">
      <c r="A86" s="6"/>
      <c r="B86" s="27" t="s">
        <v>102</v>
      </c>
      <c r="C86" s="27" t="s">
        <v>101</v>
      </c>
      <c r="D86" s="28" t="s">
        <v>27</v>
      </c>
      <c r="E86" s="29">
        <v>46253</v>
      </c>
      <c r="F86" s="29"/>
      <c r="G86" s="30">
        <v>46341</v>
      </c>
      <c r="H86" s="31"/>
      <c r="I86" s="32"/>
      <c r="J86" s="33">
        <f t="shared" si="32"/>
        <v>0</v>
      </c>
      <c r="K86" s="34"/>
      <c r="L86" s="32"/>
      <c r="M86" s="33">
        <f t="shared" si="33"/>
        <v>0</v>
      </c>
      <c r="N86" s="35"/>
      <c r="O86" s="35"/>
      <c r="P86" s="36">
        <v>1500000</v>
      </c>
      <c r="Q86" s="37">
        <v>1500000</v>
      </c>
      <c r="R86" s="38">
        <f t="shared" si="34"/>
        <v>1500000</v>
      </c>
      <c r="S86" s="39">
        <f t="shared" si="35"/>
        <v>0</v>
      </c>
      <c r="T86" s="2"/>
      <c r="U86" s="2"/>
    </row>
    <row r="87" spans="1:21" ht="30" customHeight="1" x14ac:dyDescent="0.15">
      <c r="A87" s="6"/>
      <c r="B87" s="27" t="s">
        <v>103</v>
      </c>
      <c r="C87" s="27" t="s">
        <v>101</v>
      </c>
      <c r="D87" s="28" t="s">
        <v>27</v>
      </c>
      <c r="E87" s="29">
        <v>46253</v>
      </c>
      <c r="F87" s="29"/>
      <c r="G87" s="30">
        <v>46341</v>
      </c>
      <c r="H87" s="31"/>
      <c r="I87" s="32"/>
      <c r="J87" s="33">
        <f t="shared" si="32"/>
        <v>0</v>
      </c>
      <c r="K87" s="34"/>
      <c r="L87" s="32"/>
      <c r="M87" s="33">
        <f t="shared" si="33"/>
        <v>0</v>
      </c>
      <c r="N87" s="35"/>
      <c r="O87" s="35"/>
      <c r="P87" s="36">
        <v>3000000</v>
      </c>
      <c r="Q87" s="37">
        <v>3000000</v>
      </c>
      <c r="R87" s="38">
        <f t="shared" si="34"/>
        <v>3000000</v>
      </c>
      <c r="S87" s="39">
        <f t="shared" si="35"/>
        <v>0</v>
      </c>
      <c r="T87" s="2"/>
      <c r="U87" s="2"/>
    </row>
    <row r="88" spans="1:21" ht="30" customHeight="1" x14ac:dyDescent="0.15">
      <c r="A88" s="6"/>
      <c r="B88" s="27" t="s">
        <v>104</v>
      </c>
      <c r="C88" s="27" t="s">
        <v>101</v>
      </c>
      <c r="D88" s="28" t="s">
        <v>27</v>
      </c>
      <c r="E88" s="29">
        <v>46253</v>
      </c>
      <c r="F88" s="29"/>
      <c r="G88" s="30">
        <v>46341</v>
      </c>
      <c r="H88" s="31"/>
      <c r="I88" s="32"/>
      <c r="J88" s="33">
        <f t="shared" si="32"/>
        <v>0</v>
      </c>
      <c r="K88" s="34"/>
      <c r="L88" s="32"/>
      <c r="M88" s="33">
        <f t="shared" si="33"/>
        <v>0</v>
      </c>
      <c r="N88" s="35"/>
      <c r="O88" s="35"/>
      <c r="P88" s="36">
        <v>500000</v>
      </c>
      <c r="Q88" s="37">
        <v>500000</v>
      </c>
      <c r="R88" s="38">
        <f t="shared" si="34"/>
        <v>500000</v>
      </c>
      <c r="S88" s="39">
        <f t="shared" si="35"/>
        <v>0</v>
      </c>
      <c r="T88" s="2"/>
      <c r="U88" s="2"/>
    </row>
    <row r="89" spans="1:21" ht="30" customHeight="1" x14ac:dyDescent="0.15">
      <c r="A89" s="6"/>
      <c r="B89" s="27" t="s">
        <v>105</v>
      </c>
      <c r="C89" s="27" t="s">
        <v>106</v>
      </c>
      <c r="D89" s="28" t="s">
        <v>27</v>
      </c>
      <c r="E89" s="29">
        <v>46253</v>
      </c>
      <c r="F89" s="29"/>
      <c r="G89" s="30">
        <v>46341</v>
      </c>
      <c r="H89" s="31"/>
      <c r="I89" s="32"/>
      <c r="J89" s="33">
        <f t="shared" si="32"/>
        <v>0</v>
      </c>
      <c r="K89" s="34"/>
      <c r="L89" s="32"/>
      <c r="M89" s="33">
        <f t="shared" si="33"/>
        <v>0</v>
      </c>
      <c r="N89" s="35">
        <v>1000000</v>
      </c>
      <c r="O89" s="35"/>
      <c r="P89" s="36"/>
      <c r="Q89" s="37">
        <v>1000000</v>
      </c>
      <c r="R89" s="38">
        <f t="shared" si="34"/>
        <v>1000000</v>
      </c>
      <c r="S89" s="39">
        <f t="shared" si="35"/>
        <v>0</v>
      </c>
      <c r="T89" s="2"/>
      <c r="U89" s="2"/>
    </row>
    <row r="90" spans="1:21" ht="30" customHeight="1" x14ac:dyDescent="0.15">
      <c r="A90" s="6"/>
      <c r="B90" s="27" t="s">
        <v>107</v>
      </c>
      <c r="C90" s="27" t="s">
        <v>108</v>
      </c>
      <c r="D90" s="28" t="s">
        <v>27</v>
      </c>
      <c r="E90" s="29">
        <v>46253</v>
      </c>
      <c r="F90" s="29"/>
      <c r="G90" s="30">
        <v>46341</v>
      </c>
      <c r="H90" s="31"/>
      <c r="I90" s="32"/>
      <c r="J90" s="33">
        <f t="shared" si="32"/>
        <v>0</v>
      </c>
      <c r="K90" s="34"/>
      <c r="L90" s="32"/>
      <c r="M90" s="33">
        <f t="shared" si="33"/>
        <v>0</v>
      </c>
      <c r="N90" s="35"/>
      <c r="O90" s="35"/>
      <c r="P90" s="36">
        <v>2000000</v>
      </c>
      <c r="Q90" s="37">
        <v>2000000</v>
      </c>
      <c r="R90" s="38">
        <f t="shared" si="34"/>
        <v>2000000</v>
      </c>
      <c r="S90" s="39">
        <f t="shared" si="35"/>
        <v>0</v>
      </c>
      <c r="T90" s="2"/>
      <c r="U90" s="2"/>
    </row>
    <row r="91" spans="1:21" ht="30" customHeight="1" x14ac:dyDescent="0.15">
      <c r="A91" s="6"/>
      <c r="B91" s="40" t="s">
        <v>32</v>
      </c>
      <c r="C91" s="40"/>
      <c r="D91" s="41"/>
      <c r="E91" s="42"/>
      <c r="F91" s="42"/>
      <c r="G91" s="43"/>
      <c r="H91" s="44"/>
      <c r="I91" s="45"/>
      <c r="J91" s="46">
        <f>SUM(J85:J90)</f>
        <v>0</v>
      </c>
      <c r="K91" s="46"/>
      <c r="L91" s="46"/>
      <c r="M91" s="46">
        <f>SUM(M85:M90)</f>
        <v>0</v>
      </c>
      <c r="N91" s="46">
        <f>SUM(N85:N90)</f>
        <v>1000000</v>
      </c>
      <c r="O91" s="46">
        <f>SUM(O85:O90)</f>
        <v>0</v>
      </c>
      <c r="P91" s="47">
        <f>SUM(P85:P90)</f>
        <v>9400000</v>
      </c>
      <c r="Q91" s="48">
        <f>SUM(Q85:Q90)</f>
        <v>10400000</v>
      </c>
      <c r="R91" s="49">
        <f>SUM(J91:P91)</f>
        <v>10400000</v>
      </c>
      <c r="S91" s="49">
        <f t="shared" si="35"/>
        <v>0</v>
      </c>
      <c r="T91" s="2"/>
      <c r="U91" s="2"/>
    </row>
    <row r="92" spans="1:21" ht="13.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3.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72" customHeight="1" x14ac:dyDescent="0.15">
      <c r="A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3.5" customHeight="1" x14ac:dyDescent="0.15">
      <c r="A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23.25" customHeight="1" x14ac:dyDescent="0.15">
      <c r="A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3.5" customHeight="1" x14ac:dyDescent="0.15">
      <c r="A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23.25" customHeight="1" x14ac:dyDescent="0.15">
      <c r="A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23.25" customHeight="1" x14ac:dyDescent="0.15">
      <c r="A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34.5" customHeight="1" x14ac:dyDescent="0.15">
      <c r="A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23.25" customHeight="1" x14ac:dyDescent="0.15">
      <c r="A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23.25" customHeight="1" x14ac:dyDescent="0.15">
      <c r="A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3.5" customHeight="1" x14ac:dyDescent="0.15">
      <c r="A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34.5" customHeight="1" x14ac:dyDescent="0.15">
      <c r="A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41.25" customHeight="1" x14ac:dyDescent="0.15">
      <c r="A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23.25" customHeight="1" x14ac:dyDescent="0.15">
      <c r="A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41.25" customHeight="1" x14ac:dyDescent="0.15">
      <c r="A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3.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3.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3.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3.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3.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3.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3.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3.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3.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3.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3.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3.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3.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3.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3.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3.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3.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3.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3.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3.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3.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3.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3.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3.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3.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3.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3.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3.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3.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3.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3.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3.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3.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3.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3.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3.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3.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13.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ht="13.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ht="13.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13.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ht="13.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ht="13.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ht="13.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3.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ht="13.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ht="13.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ht="13.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ht="13.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13.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ht="13.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13.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ht="13.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ht="13.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ht="13.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ht="13.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ht="13.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3.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3.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3.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3.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3.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3.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3.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3.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3.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3.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3.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3.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3.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3.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3.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3.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3.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3.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3.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3.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ht="13.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ht="13.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13.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ht="13.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ht="13.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3.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3.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3.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3.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3.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3.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3.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3.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3.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3.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3.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3.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ht="13.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ht="13.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ht="13.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ht="13.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ht="13.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ht="13.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ht="13.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ht="13.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ht="13.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ht="13.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ht="13.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ht="13.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ht="13.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ht="13.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ht="13.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ht="13.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ht="13.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ht="13.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ht="13.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ht="13.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ht="13.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ht="13.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 ht="13.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 ht="13.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 ht="13.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 ht="13.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 ht="13.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 ht="13.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 ht="13.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 ht="13.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 ht="13.5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 ht="13.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 ht="13.5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 ht="13.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 ht="13.5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ht="13.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ht="13.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 ht="13.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 ht="13.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 ht="13.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 ht="13.5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 ht="13.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 ht="13.5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 ht="13.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 ht="13.5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 ht="13.5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 ht="13.5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 ht="13.5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 ht="13.5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 ht="13.5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 ht="13.5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 ht="13.5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 ht="13.5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 ht="13.5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 ht="13.5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 ht="13.5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 ht="13.5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 ht="13.5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 ht="13.5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 ht="13.5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 ht="13.5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ht="13.5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 ht="13.5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 ht="13.5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 ht="13.5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ht="13.5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ht="13.5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 ht="13.5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 ht="13.5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ht="13.5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 ht="13.5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 ht="13.5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 ht="13.5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 ht="13.5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ht="13.5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 ht="13.5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ht="13.5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 ht="13.5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ht="13.5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 ht="13.5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ht="13.5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 ht="13.5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 ht="13.5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 ht="13.5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ht="13.5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 ht="13.5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 ht="13.5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 ht="13.5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ht="13.5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 ht="13.5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ht="13.5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ht="13.5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ht="13.5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ht="13.5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ht="13.5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ht="13.5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ht="13.5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ht="13.5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ht="13.5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ht="13.5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ht="13.5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ht="13.5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ht="13.5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ht="13.5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ht="13.5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ht="13.5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ht="13.5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ht="13.5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ht="13.5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ht="13.5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ht="13.5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ht="13.5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ht="13.5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ht="13.5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ht="13.5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ht="13.5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ht="13.5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ht="13.5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ht="13.5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ht="13.5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ht="13.5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ht="13.5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ht="13.5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ht="13.5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ht="13.5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ht="13.5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ht="13.5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ht="13.5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ht="13.5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ht="13.5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ht="13.5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ht="13.5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ht="13.5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ht="13.5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ht="13.5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ht="13.5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ht="13.5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ht="13.5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ht="13.5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ht="13.5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ht="13.5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ht="13.5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ht="13.5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ht="13.5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ht="13.5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ht="13.5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ht="13.5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ht="13.5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ht="13.5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ht="13.5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ht="13.5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 ht="13.5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 ht="13.5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 ht="13.5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ht="13.5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ht="13.5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ht="13.5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ht="13.5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ht="13.5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ht="13.5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ht="13.5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ht="13.5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ht="13.5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ht="13.5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ht="13.5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ht="13.5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ht="13.5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ht="13.5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ht="13.5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ht="13.5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ht="13.5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ht="13.5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ht="13.5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 ht="13.5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 ht="13.5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 ht="13.5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 ht="13.5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 ht="13.5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 ht="13.5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 ht="13.5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 ht="13.5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</sheetData>
  <mergeCells count="36">
    <mergeCell ref="H82:J82"/>
    <mergeCell ref="K82:M82"/>
    <mergeCell ref="N82:P82"/>
    <mergeCell ref="Q82:S82"/>
    <mergeCell ref="H63:J63"/>
    <mergeCell ref="K63:M63"/>
    <mergeCell ref="N63:P63"/>
    <mergeCell ref="Q63:S63"/>
    <mergeCell ref="H73:J73"/>
    <mergeCell ref="K73:M73"/>
    <mergeCell ref="N73:P73"/>
    <mergeCell ref="Q73:S73"/>
    <mergeCell ref="H42:J42"/>
    <mergeCell ref="K42:M42"/>
    <mergeCell ref="N42:P42"/>
    <mergeCell ref="Q42:S42"/>
    <mergeCell ref="H51:J51"/>
    <mergeCell ref="K51:M51"/>
    <mergeCell ref="N51:P51"/>
    <mergeCell ref="Q51:S51"/>
    <mergeCell ref="H20:J20"/>
    <mergeCell ref="K20:M20"/>
    <mergeCell ref="N20:P20"/>
    <mergeCell ref="Q20:S20"/>
    <mergeCell ref="H30:J30"/>
    <mergeCell ref="K30:M30"/>
    <mergeCell ref="N30:P30"/>
    <mergeCell ref="Q30:S30"/>
    <mergeCell ref="H2:J2"/>
    <mergeCell ref="K2:M2"/>
    <mergeCell ref="N2:P2"/>
    <mergeCell ref="Q2:S2"/>
    <mergeCell ref="H10:J10"/>
    <mergeCell ref="K10:M10"/>
    <mergeCell ref="N10:P10"/>
    <mergeCell ref="Q10:S10"/>
  </mergeCells>
  <conditionalFormatting sqref="D4:D7">
    <cfRule type="containsText" dxfId="86" priority="91" operator="containsText" text="In Progress">
      <formula>NOT(ISERROR(SEARCH("In Progress",D4)))</formula>
    </cfRule>
    <cfRule type="containsText" dxfId="85" priority="90" operator="containsText" text="Complete">
      <formula>NOT(ISERROR(SEARCH("Complete",D4)))</formula>
    </cfRule>
    <cfRule type="containsText" dxfId="84" priority="89" operator="containsText" text="Overdue">
      <formula>NOT(ISERROR(SEARCH("Overdue",D4)))</formula>
    </cfRule>
    <cfRule type="containsText" dxfId="83" priority="88" operator="containsText" text="On Hold">
      <formula>NOT(ISERROR(SEARCH("On Hold",D4)))</formula>
    </cfRule>
    <cfRule type="containsText" dxfId="82" priority="87" operator="containsText" text="Not Started">
      <formula>NOT(ISERROR(SEARCH("Not Started",D4)))</formula>
    </cfRule>
    <cfRule type="containsText" dxfId="81" priority="86" operator="containsText" text="Needs Review">
      <formula>NOT(ISERROR(SEARCH("Needs Review",D4)))</formula>
    </cfRule>
    <cfRule type="containsText" dxfId="80" priority="85" operator="containsText" text="Approved">
      <formula>NOT(ISERROR(SEARCH("Approved",D4)))</formula>
    </cfRule>
  </conditionalFormatting>
  <conditionalFormatting sqref="D5:D7">
    <cfRule type="cellIs" dxfId="79" priority="77" operator="equal">
      <formula>"No Iniciado"</formula>
    </cfRule>
    <cfRule type="cellIs" dxfId="78" priority="84" operator="equal">
      <formula>"Completo"</formula>
    </cfRule>
    <cfRule type="cellIs" dxfId="77" priority="83" operator="equal">
      <formula>"En Progreso"</formula>
    </cfRule>
    <cfRule type="cellIs" dxfId="76" priority="82" operator="equal">
      <formula>"Requiere Revisión"</formula>
    </cfRule>
    <cfRule type="cellIs" dxfId="75" priority="81" operator="equal">
      <formula>"Aprovado"</formula>
    </cfRule>
    <cfRule type="cellIs" dxfId="74" priority="80" operator="equal">
      <formula>"Atrasado"</formula>
    </cfRule>
    <cfRule type="cellIs" dxfId="73" priority="79" operator="equal">
      <formula>"En Espera"</formula>
    </cfRule>
    <cfRule type="cellIs" dxfId="72" priority="78" operator="equal">
      <formula>"Aprobado"</formula>
    </cfRule>
  </conditionalFormatting>
  <conditionalFormatting sqref="D12:D17">
    <cfRule type="containsText" dxfId="71" priority="70" operator="containsText" text="Approved">
      <formula>NOT(ISERROR(SEARCH("Approved",D12)))</formula>
    </cfRule>
    <cfRule type="containsText" dxfId="70" priority="71" operator="containsText" text="Needs Review">
      <formula>NOT(ISERROR(SEARCH("Needs Review",D12)))</formula>
    </cfRule>
    <cfRule type="containsText" dxfId="69" priority="72" operator="containsText" text="Not Started">
      <formula>NOT(ISERROR(SEARCH("Not Started",D12)))</formula>
    </cfRule>
    <cfRule type="containsText" dxfId="68" priority="73" operator="containsText" text="On Hold">
      <formula>NOT(ISERROR(SEARCH("On Hold",D12)))</formula>
    </cfRule>
    <cfRule type="containsText" dxfId="67" priority="74" operator="containsText" text="Overdue">
      <formula>NOT(ISERROR(SEARCH("Overdue",D12)))</formula>
    </cfRule>
    <cfRule type="containsText" dxfId="66" priority="75" operator="containsText" text="Complete">
      <formula>NOT(ISERROR(SEARCH("Complete",D12)))</formula>
    </cfRule>
    <cfRule type="containsText" dxfId="65" priority="76" operator="containsText" text="In Progress">
      <formula>NOT(ISERROR(SEARCH("In Progress",D12)))</formula>
    </cfRule>
  </conditionalFormatting>
  <conditionalFormatting sqref="D13:D17">
    <cfRule type="cellIs" dxfId="64" priority="62" operator="equal">
      <formula>"No Iniciado"</formula>
    </cfRule>
    <cfRule type="cellIs" dxfId="63" priority="69" operator="equal">
      <formula>"Completo"</formula>
    </cfRule>
    <cfRule type="cellIs" dxfId="62" priority="63" operator="equal">
      <formula>"Aprobado"</formula>
    </cfRule>
    <cfRule type="cellIs" dxfId="61" priority="64" operator="equal">
      <formula>"En Espera"</formula>
    </cfRule>
    <cfRule type="cellIs" dxfId="60" priority="65" operator="equal">
      <formula>"Atrasado"</formula>
    </cfRule>
    <cfRule type="cellIs" dxfId="59" priority="66" operator="equal">
      <formula>"Aprovado"</formula>
    </cfRule>
    <cfRule type="cellIs" dxfId="58" priority="67" operator="equal">
      <formula>"Requiere Revisión"</formula>
    </cfRule>
    <cfRule type="cellIs" dxfId="57" priority="68" operator="equal">
      <formula>"En Progreso"</formula>
    </cfRule>
  </conditionalFormatting>
  <conditionalFormatting sqref="D23:D27">
    <cfRule type="containsText" dxfId="56" priority="60" operator="containsText" text="In Progress">
      <formula>NOT(ISERROR(SEARCH("In Progress",D23)))</formula>
    </cfRule>
    <cfRule type="cellIs" dxfId="55" priority="46" operator="equal">
      <formula>"No Iniciado"</formula>
    </cfRule>
    <cfRule type="containsText" dxfId="54" priority="59" operator="containsText" text="Complete">
      <formula>NOT(ISERROR(SEARCH("Complete",D23)))</formula>
    </cfRule>
    <cfRule type="containsText" dxfId="53" priority="58" operator="containsText" text="Overdue">
      <formula>NOT(ISERROR(SEARCH("Overdue",D23)))</formula>
    </cfRule>
    <cfRule type="containsText" dxfId="52" priority="57" operator="containsText" text="On Hold">
      <formula>NOT(ISERROR(SEARCH("On Hold",D23)))</formula>
    </cfRule>
    <cfRule type="containsText" dxfId="51" priority="56" operator="containsText" text="Not Started">
      <formula>NOT(ISERROR(SEARCH("Not Started",D23)))</formula>
    </cfRule>
    <cfRule type="containsText" dxfId="50" priority="55" operator="containsText" text="Needs Review">
      <formula>NOT(ISERROR(SEARCH("Needs Review",D23)))</formula>
    </cfRule>
    <cfRule type="containsText" dxfId="49" priority="54" operator="containsText" text="Approved">
      <formula>NOT(ISERROR(SEARCH("Approved",D23)))</formula>
    </cfRule>
    <cfRule type="cellIs" dxfId="48" priority="53" operator="equal">
      <formula>"Completo"</formula>
    </cfRule>
    <cfRule type="cellIs" dxfId="47" priority="52" operator="equal">
      <formula>"En Progreso"</formula>
    </cfRule>
    <cfRule type="cellIs" dxfId="46" priority="51" operator="equal">
      <formula>"Requiere Revisión"</formula>
    </cfRule>
    <cfRule type="cellIs" dxfId="45" priority="50" operator="equal">
      <formula>"Aprovado"</formula>
    </cfRule>
    <cfRule type="cellIs" dxfId="44" priority="49" operator="equal">
      <formula>"Atrasado"</formula>
    </cfRule>
    <cfRule type="cellIs" dxfId="43" priority="48" operator="equal">
      <formula>"En Espera"</formula>
    </cfRule>
    <cfRule type="cellIs" dxfId="42" priority="47" operator="equal">
      <formula>"Aprobado"</formula>
    </cfRule>
  </conditionalFormatting>
  <conditionalFormatting sqref="D33:D39">
    <cfRule type="cellIs" dxfId="41" priority="22" operator="equal">
      <formula>"En Progreso"</formula>
    </cfRule>
    <cfRule type="containsText" dxfId="40" priority="25" operator="containsText" text="Needs Review">
      <formula>NOT(ISERROR(SEARCH("Needs Review",D33)))</formula>
    </cfRule>
    <cfRule type="containsText" dxfId="39" priority="26" operator="containsText" text="Not Started">
      <formula>NOT(ISERROR(SEARCH("Not Started",D33)))</formula>
    </cfRule>
    <cfRule type="containsText" dxfId="38" priority="27" operator="containsText" text="On Hold">
      <formula>NOT(ISERROR(SEARCH("On Hold",D33)))</formula>
    </cfRule>
    <cfRule type="containsText" dxfId="37" priority="28" operator="containsText" text="Overdue">
      <formula>NOT(ISERROR(SEARCH("Overdue",D33)))</formula>
    </cfRule>
    <cfRule type="containsText" dxfId="36" priority="29" operator="containsText" text="Complete">
      <formula>NOT(ISERROR(SEARCH("Complete",D33)))</formula>
    </cfRule>
    <cfRule type="containsText" dxfId="35" priority="30" operator="containsText" text="In Progress">
      <formula>NOT(ISERROR(SEARCH("In Progress",D33)))</formula>
    </cfRule>
    <cfRule type="cellIs" dxfId="34" priority="23" operator="equal">
      <formula>"Completo"</formula>
    </cfRule>
    <cfRule type="cellIs" dxfId="33" priority="16" operator="equal">
      <formula>"No Iniciado"</formula>
    </cfRule>
    <cfRule type="cellIs" dxfId="32" priority="17" operator="equal">
      <formula>"Aprobado"</formula>
    </cfRule>
    <cfRule type="cellIs" dxfId="31" priority="18" operator="equal">
      <formula>"En Espera"</formula>
    </cfRule>
    <cfRule type="cellIs" dxfId="30" priority="19" operator="equal">
      <formula>"Atrasado"</formula>
    </cfRule>
    <cfRule type="cellIs" dxfId="29" priority="20" operator="equal">
      <formula>"Aprovado"</formula>
    </cfRule>
    <cfRule type="cellIs" dxfId="28" priority="21" operator="equal">
      <formula>"Requiere Revisión"</formula>
    </cfRule>
    <cfRule type="containsText" dxfId="27" priority="24" operator="containsText" text="Approved">
      <formula>NOT(ISERROR(SEARCH("Approved",D33)))</formula>
    </cfRule>
  </conditionalFormatting>
  <conditionalFormatting sqref="D45:D48">
    <cfRule type="cellIs" dxfId="26" priority="1" operator="equal">
      <formula>"No Iniciado"</formula>
    </cfRule>
    <cfRule type="containsText" dxfId="25" priority="14" operator="containsText" text="Complete">
      <formula>NOT(ISERROR(SEARCH("Complete",D45)))</formula>
    </cfRule>
    <cfRule type="cellIs" dxfId="24" priority="2" operator="equal">
      <formula>"Aprobado"</formula>
    </cfRule>
    <cfRule type="cellIs" dxfId="23" priority="3" operator="equal">
      <formula>"En Espera"</formula>
    </cfRule>
    <cfRule type="cellIs" dxfId="22" priority="4" operator="equal">
      <formula>"Atrasado"</formula>
    </cfRule>
    <cfRule type="cellIs" dxfId="21" priority="5" operator="equal">
      <formula>"Aprovado"</formula>
    </cfRule>
    <cfRule type="cellIs" dxfId="20" priority="6" operator="equal">
      <formula>"Requiere Revisión"</formula>
    </cfRule>
    <cfRule type="cellIs" dxfId="19" priority="7" operator="equal">
      <formula>"En Progreso"</formula>
    </cfRule>
    <cfRule type="cellIs" dxfId="18" priority="8" operator="equal">
      <formula>"Completo"</formula>
    </cfRule>
    <cfRule type="containsText" dxfId="17" priority="9" operator="containsText" text="Approved">
      <formula>NOT(ISERROR(SEARCH("Approved",D45)))</formula>
    </cfRule>
    <cfRule type="containsText" dxfId="16" priority="10" operator="containsText" text="Needs Review">
      <formula>NOT(ISERROR(SEARCH("Needs Review",D45)))</formula>
    </cfRule>
    <cfRule type="containsText" dxfId="15" priority="11" operator="containsText" text="Not Started">
      <formula>NOT(ISERROR(SEARCH("Not Started",D45)))</formula>
    </cfRule>
    <cfRule type="containsText" dxfId="14" priority="12" operator="containsText" text="On Hold">
      <formula>NOT(ISERROR(SEARCH("On Hold",D45)))</formula>
    </cfRule>
    <cfRule type="containsText" dxfId="13" priority="13" operator="containsText" text="Overdue">
      <formula>NOT(ISERROR(SEARCH("Overdue",D45)))</formula>
    </cfRule>
    <cfRule type="containsText" dxfId="12" priority="15" operator="containsText" text="In Progress">
      <formula>NOT(ISERROR(SEARCH("In Progress",D45)))</formula>
    </cfRule>
  </conditionalFormatting>
  <conditionalFormatting sqref="S5:S8 S13:S18">
    <cfRule type="cellIs" dxfId="11" priority="93" operator="greaterThan">
      <formula>0</formula>
    </cfRule>
    <cfRule type="cellIs" dxfId="10" priority="92" operator="lessThan">
      <formula>0</formula>
    </cfRule>
  </conditionalFormatting>
  <conditionalFormatting sqref="S9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3" right="0.3" top="0.3" bottom="0.3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BFBF"/>
  </sheetPr>
  <dimension ref="A1:AF61"/>
  <sheetViews>
    <sheetView showGridLines="0" zoomScaleNormal="100" workbookViewId="0">
      <selection activeCell="F6" sqref="F6"/>
    </sheetView>
  </sheetViews>
  <sheetFormatPr defaultColWidth="10.6015625" defaultRowHeight="15" x14ac:dyDescent="0.2"/>
  <cols>
    <col min="1" max="1" width="3.328125" style="9" customWidth="1"/>
    <col min="2" max="2" width="10.8515625" style="9" customWidth="1"/>
    <col min="3" max="3" width="3.328125" style="9" customWidth="1"/>
    <col min="5" max="5" width="3.328125" style="9" customWidth="1"/>
    <col min="6" max="6" width="12.82421875" customWidth="1"/>
    <col min="7" max="7" width="3.328125" style="9" customWidth="1"/>
  </cols>
  <sheetData>
    <row r="1" spans="1:32" s="9" customFormat="1" ht="42" customHeight="1" x14ac:dyDescent="0.2">
      <c r="B1" s="55" t="s">
        <v>109</v>
      </c>
      <c r="C1" s="5"/>
      <c r="D1" s="5"/>
      <c r="E1" s="5"/>
      <c r="F1" s="5"/>
      <c r="G1" s="5"/>
      <c r="H1" s="5"/>
      <c r="I1" s="5"/>
      <c r="J1" s="5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24.75" customHeight="1" x14ac:dyDescent="0.2">
      <c r="A2" s="6"/>
      <c r="B2" s="56" t="s">
        <v>110</v>
      </c>
      <c r="C2" s="6"/>
      <c r="D2" s="56" t="s">
        <v>111</v>
      </c>
      <c r="E2" s="6"/>
      <c r="F2" s="56" t="s">
        <v>8</v>
      </c>
      <c r="G2" s="6"/>
    </row>
    <row r="3" spans="1:32" ht="34.5" customHeight="1" x14ac:dyDescent="0.2">
      <c r="A3" s="6"/>
      <c r="B3" s="57" t="s">
        <v>112</v>
      </c>
      <c r="C3" s="6"/>
      <c r="D3" s="58" t="s">
        <v>113</v>
      </c>
      <c r="E3" s="6"/>
      <c r="F3" s="59" t="s">
        <v>27</v>
      </c>
      <c r="G3" s="6"/>
    </row>
    <row r="4" spans="1:32" ht="34.5" customHeight="1" x14ac:dyDescent="0.2">
      <c r="A4" s="6"/>
      <c r="B4" s="60" t="s">
        <v>114</v>
      </c>
      <c r="C4" s="6"/>
      <c r="D4" s="61" t="s">
        <v>115</v>
      </c>
      <c r="E4" s="6"/>
      <c r="F4" s="62" t="s">
        <v>116</v>
      </c>
      <c r="G4" s="6"/>
    </row>
    <row r="5" spans="1:32" ht="34.5" customHeight="1" x14ac:dyDescent="0.2">
      <c r="A5" s="6"/>
      <c r="C5" s="6"/>
      <c r="D5" s="63" t="s">
        <v>117</v>
      </c>
      <c r="E5" s="6"/>
      <c r="F5" s="64" t="s">
        <v>118</v>
      </c>
      <c r="G5" s="6"/>
    </row>
    <row r="6" spans="1:32" ht="34.5" customHeight="1" x14ac:dyDescent="0.2">
      <c r="A6" s="6"/>
      <c r="C6" s="6"/>
      <c r="D6" s="65"/>
      <c r="E6" s="6"/>
      <c r="F6" s="66" t="s">
        <v>119</v>
      </c>
      <c r="G6" s="6"/>
    </row>
    <row r="7" spans="1:32" ht="34.5" customHeight="1" x14ac:dyDescent="0.2">
      <c r="A7" s="6"/>
      <c r="C7" s="6"/>
      <c r="D7" s="65"/>
      <c r="E7" s="6"/>
      <c r="F7" s="67" t="s">
        <v>120</v>
      </c>
      <c r="G7" s="6"/>
    </row>
    <row r="8" spans="1:32" ht="34.5" customHeight="1" x14ac:dyDescent="0.2">
      <c r="A8" s="6"/>
      <c r="C8" s="6"/>
      <c r="E8" s="6"/>
      <c r="F8" s="68" t="s">
        <v>121</v>
      </c>
      <c r="G8" s="6"/>
    </row>
    <row r="9" spans="1:32" ht="34.5" customHeight="1" x14ac:dyDescent="0.2">
      <c r="A9" s="6"/>
      <c r="B9" s="6"/>
      <c r="C9" s="6"/>
      <c r="E9" s="6"/>
      <c r="F9" s="69" t="s">
        <v>122</v>
      </c>
      <c r="G9" s="6"/>
    </row>
    <row r="10" spans="1:32" ht="34.5" customHeight="1" x14ac:dyDescent="0.2">
      <c r="A10" s="6"/>
      <c r="B10" s="6"/>
      <c r="C10" s="6"/>
      <c r="D10" s="65"/>
      <c r="E10" s="6"/>
      <c r="F10" s="70"/>
      <c r="G10" s="6"/>
    </row>
    <row r="11" spans="1:32" ht="34.5" customHeight="1" x14ac:dyDescent="0.2">
      <c r="A11" s="6"/>
      <c r="B11" s="6"/>
      <c r="C11" s="6"/>
      <c r="D11" s="65"/>
      <c r="E11" s="6"/>
      <c r="F11" s="70"/>
      <c r="G11" s="6"/>
    </row>
    <row r="12" spans="1:32" ht="16.5" customHeight="1" x14ac:dyDescent="0.2">
      <c r="A12" s="6"/>
      <c r="B12" s="6"/>
      <c r="C12" s="6"/>
      <c r="D12" s="65"/>
      <c r="E12" s="6"/>
      <c r="F12" s="65"/>
      <c r="G12" s="6"/>
    </row>
    <row r="13" spans="1:32" ht="16.5" customHeight="1" x14ac:dyDescent="0.2">
      <c r="A13" s="6"/>
      <c r="B13" s="6"/>
      <c r="C13" s="6"/>
      <c r="D13" s="65"/>
      <c r="E13" s="6"/>
      <c r="F13" s="65"/>
      <c r="G13" s="6"/>
    </row>
    <row r="14" spans="1:32" ht="16.5" customHeight="1" x14ac:dyDescent="0.2">
      <c r="A14" s="6"/>
      <c r="B14" s="6"/>
      <c r="C14" s="6"/>
      <c r="D14" s="65"/>
      <c r="E14" s="6"/>
      <c r="F14" s="65"/>
      <c r="G14" s="6"/>
    </row>
    <row r="15" spans="1:32" ht="16.5" customHeight="1" x14ac:dyDescent="0.2">
      <c r="A15" s="6"/>
      <c r="B15" s="6"/>
      <c r="C15" s="6"/>
      <c r="D15" s="65"/>
      <c r="E15" s="6"/>
      <c r="F15" s="65"/>
      <c r="G15" s="6"/>
    </row>
    <row r="16" spans="1:32" ht="16.5" customHeight="1" x14ac:dyDescent="0.2">
      <c r="A16" s="6"/>
      <c r="B16" s="6"/>
      <c r="C16" s="6"/>
      <c r="D16" s="65"/>
      <c r="E16" s="6"/>
      <c r="F16" s="65"/>
      <c r="G16" s="6"/>
    </row>
    <row r="17" spans="1:7" ht="16.5" customHeight="1" x14ac:dyDescent="0.2">
      <c r="A17" s="6"/>
      <c r="B17" s="6"/>
      <c r="C17" s="6"/>
      <c r="D17" s="65"/>
      <c r="E17" s="6"/>
      <c r="G17" s="6"/>
    </row>
    <row r="18" spans="1:7" ht="16.5" customHeight="1" x14ac:dyDescent="0.2">
      <c r="A18" s="6"/>
      <c r="B18" s="6"/>
      <c r="C18" s="6"/>
      <c r="D18" s="65"/>
      <c r="E18" s="6"/>
      <c r="G18" s="6"/>
    </row>
    <row r="19" spans="1:7" ht="16.5" customHeight="1" x14ac:dyDescent="0.2">
      <c r="A19" s="6"/>
      <c r="B19" s="6"/>
      <c r="C19" s="6"/>
      <c r="D19" s="65"/>
      <c r="E19" s="6"/>
      <c r="G19" s="6"/>
    </row>
    <row r="20" spans="1:7" ht="16.5" customHeight="1" x14ac:dyDescent="0.2">
      <c r="A20" s="6"/>
      <c r="B20" s="6"/>
      <c r="C20" s="6"/>
      <c r="D20" s="65"/>
      <c r="E20" s="6"/>
      <c r="G20" s="6"/>
    </row>
    <row r="21" spans="1:7" ht="16.5" customHeight="1" x14ac:dyDescent="0.2">
      <c r="A21" s="6"/>
      <c r="B21" s="6"/>
      <c r="C21" s="6"/>
      <c r="D21" s="65"/>
      <c r="E21" s="6"/>
      <c r="G21" s="6"/>
    </row>
    <row r="22" spans="1:7" ht="16.5" customHeight="1" x14ac:dyDescent="0.2">
      <c r="A22" s="6"/>
      <c r="B22" s="6"/>
      <c r="C22" s="6"/>
      <c r="D22" s="65"/>
      <c r="E22" s="6"/>
      <c r="G22" s="6"/>
    </row>
    <row r="23" spans="1:7" ht="16.5" customHeight="1" x14ac:dyDescent="0.2">
      <c r="A23" s="6"/>
      <c r="B23" s="6"/>
      <c r="C23" s="6"/>
      <c r="D23" s="65"/>
      <c r="E23" s="6"/>
      <c r="G23" s="6"/>
    </row>
    <row r="24" spans="1:7" ht="16.5" customHeight="1" x14ac:dyDescent="0.2">
      <c r="A24" s="6"/>
      <c r="B24" s="6"/>
      <c r="C24" s="6"/>
      <c r="D24" s="65"/>
      <c r="E24" s="6"/>
      <c r="G24" s="6"/>
    </row>
    <row r="25" spans="1:7" ht="16.5" customHeight="1" x14ac:dyDescent="0.2">
      <c r="A25" s="6"/>
      <c r="B25" s="6"/>
      <c r="C25" s="6"/>
      <c r="D25" s="65"/>
      <c r="E25" s="6"/>
      <c r="G25" s="6"/>
    </row>
    <row r="26" spans="1:7" ht="16.5" customHeight="1" x14ac:dyDescent="0.2">
      <c r="A26" s="6"/>
      <c r="B26" s="6"/>
      <c r="C26" s="6"/>
      <c r="D26" s="65"/>
      <c r="E26" s="6"/>
      <c r="G26" s="6"/>
    </row>
    <row r="27" spans="1:7" ht="16.5" customHeight="1" x14ac:dyDescent="0.2">
      <c r="A27" s="6"/>
      <c r="B27" s="6"/>
      <c r="C27" s="6"/>
      <c r="D27" s="65"/>
      <c r="E27" s="6"/>
      <c r="G27" s="6"/>
    </row>
    <row r="28" spans="1:7" ht="16.5" customHeight="1" x14ac:dyDescent="0.2">
      <c r="A28" s="6"/>
      <c r="B28" s="6"/>
      <c r="C28" s="6"/>
      <c r="D28" s="65"/>
      <c r="E28" s="6"/>
      <c r="G28" s="6"/>
    </row>
    <row r="29" spans="1:7" ht="16.5" customHeight="1" x14ac:dyDescent="0.2">
      <c r="A29" s="6"/>
      <c r="B29" s="6"/>
      <c r="C29" s="6"/>
      <c r="D29" s="65"/>
      <c r="E29" s="6"/>
      <c r="G29" s="6"/>
    </row>
    <row r="30" spans="1:7" ht="16.5" customHeight="1" x14ac:dyDescent="0.2">
      <c r="A30" s="6"/>
      <c r="B30" s="6"/>
      <c r="C30" s="6"/>
      <c r="D30" s="65"/>
      <c r="E30" s="6"/>
      <c r="G30" s="6"/>
    </row>
    <row r="31" spans="1:7" ht="16.5" customHeight="1" x14ac:dyDescent="0.2">
      <c r="A31" s="6"/>
      <c r="B31" s="6"/>
      <c r="C31" s="6"/>
      <c r="D31" s="65"/>
      <c r="E31" s="6"/>
      <c r="G31" s="6"/>
    </row>
    <row r="32" spans="1:7" ht="16.5" customHeight="1" x14ac:dyDescent="0.2">
      <c r="D32" s="65"/>
    </row>
    <row r="33" spans="1:7" ht="15.75" customHeight="1" x14ac:dyDescent="0.2">
      <c r="A33" s="6"/>
      <c r="B33" s="6"/>
      <c r="C33" s="6"/>
      <c r="E33" s="6"/>
      <c r="G33" s="6"/>
    </row>
    <row r="34" spans="1:7" ht="15.75" customHeight="1" x14ac:dyDescent="0.2">
      <c r="A34" s="6"/>
      <c r="B34" s="6"/>
      <c r="C34" s="6"/>
      <c r="E34" s="6"/>
      <c r="G34" s="6"/>
    </row>
    <row r="35" spans="1:7" ht="15.75" customHeight="1" x14ac:dyDescent="0.2">
      <c r="A35" s="6"/>
      <c r="B35" s="6"/>
      <c r="C35" s="6"/>
      <c r="E35" s="6"/>
      <c r="G35" s="6"/>
    </row>
    <row r="36" spans="1:7" ht="15.75" customHeight="1" x14ac:dyDescent="0.2">
      <c r="A36" s="6"/>
      <c r="B36" s="6"/>
      <c r="C36" s="6"/>
      <c r="E36" s="6"/>
      <c r="G36" s="6"/>
    </row>
    <row r="37" spans="1:7" ht="15.75" customHeight="1" x14ac:dyDescent="0.2">
      <c r="A37" s="6"/>
      <c r="B37" s="6"/>
      <c r="C37" s="6"/>
      <c r="E37" s="6"/>
      <c r="G37" s="6"/>
    </row>
    <row r="38" spans="1:7" ht="15.75" customHeight="1" x14ac:dyDescent="0.2">
      <c r="A38" s="6"/>
      <c r="B38" s="6"/>
      <c r="C38" s="6"/>
      <c r="E38" s="6"/>
      <c r="G38" s="6"/>
    </row>
    <row r="39" spans="1:7" ht="15.75" customHeight="1" x14ac:dyDescent="0.2">
      <c r="A39" s="6"/>
      <c r="B39" s="6"/>
      <c r="C39" s="6"/>
      <c r="E39" s="6"/>
      <c r="G39" s="6"/>
    </row>
    <row r="40" spans="1:7" ht="15.75" customHeight="1" x14ac:dyDescent="0.2">
      <c r="A40" s="6"/>
      <c r="B40" s="6"/>
      <c r="C40" s="6"/>
      <c r="E40" s="6"/>
      <c r="G40" s="6"/>
    </row>
    <row r="41" spans="1:7" ht="15.75" customHeight="1" x14ac:dyDescent="0.2">
      <c r="A41" s="6"/>
      <c r="B41" s="6"/>
      <c r="C41" s="6"/>
      <c r="E41" s="6"/>
      <c r="G41" s="6"/>
    </row>
    <row r="42" spans="1:7" ht="15.75" customHeight="1" x14ac:dyDescent="0.2">
      <c r="A42" s="6"/>
      <c r="B42" s="6"/>
      <c r="C42" s="6"/>
      <c r="E42" s="6"/>
      <c r="G42" s="6"/>
    </row>
    <row r="43" spans="1:7" ht="15.75" customHeight="1" x14ac:dyDescent="0.2">
      <c r="A43" s="6"/>
      <c r="B43" s="6"/>
      <c r="C43" s="6"/>
      <c r="E43" s="6"/>
      <c r="G43" s="6"/>
    </row>
    <row r="44" spans="1:7" ht="15.75" customHeight="1" x14ac:dyDescent="0.2">
      <c r="A44" s="6"/>
      <c r="B44" s="6"/>
      <c r="C44" s="6"/>
      <c r="E44" s="6"/>
      <c r="G44" s="6"/>
    </row>
    <row r="45" spans="1:7" ht="15.75" customHeight="1" x14ac:dyDescent="0.2">
      <c r="A45" s="6"/>
      <c r="B45" s="6"/>
      <c r="C45" s="6"/>
      <c r="E45" s="6"/>
      <c r="G45" s="6"/>
    </row>
    <row r="46" spans="1:7" ht="15.75" customHeight="1" x14ac:dyDescent="0.2">
      <c r="A46" s="6"/>
      <c r="B46" s="6"/>
      <c r="C46" s="6"/>
      <c r="E46" s="6"/>
      <c r="G46" s="6"/>
    </row>
    <row r="47" spans="1:7" ht="15.75" customHeight="1" x14ac:dyDescent="0.2">
      <c r="A47" s="6"/>
      <c r="B47" s="6"/>
      <c r="C47" s="6"/>
      <c r="E47" s="6"/>
      <c r="G47" s="6"/>
    </row>
    <row r="48" spans="1:7" ht="15.75" customHeight="1" x14ac:dyDescent="0.2">
      <c r="A48" s="6"/>
      <c r="B48" s="6"/>
      <c r="C48" s="6"/>
      <c r="E48" s="6"/>
      <c r="G48" s="6"/>
    </row>
    <row r="49" spans="1:7" ht="15.75" customHeight="1" x14ac:dyDescent="0.2">
      <c r="A49" s="6"/>
      <c r="B49" s="6"/>
      <c r="C49" s="6"/>
      <c r="E49" s="6"/>
      <c r="G49" s="6"/>
    </row>
    <row r="50" spans="1:7" ht="15.75" customHeight="1" x14ac:dyDescent="0.2">
      <c r="A50" s="6"/>
      <c r="B50" s="6"/>
      <c r="C50" s="6"/>
      <c r="E50" s="6"/>
      <c r="G50" s="6"/>
    </row>
    <row r="51" spans="1:7" ht="15.75" customHeight="1" x14ac:dyDescent="0.2">
      <c r="A51" s="6"/>
      <c r="B51" s="6"/>
      <c r="C51" s="6"/>
      <c r="E51" s="6"/>
      <c r="G51" s="6"/>
    </row>
    <row r="52" spans="1:7" ht="15.75" customHeight="1" x14ac:dyDescent="0.2">
      <c r="A52" s="6"/>
      <c r="B52" s="6"/>
      <c r="C52" s="6"/>
      <c r="E52" s="6"/>
      <c r="G52" s="6"/>
    </row>
    <row r="53" spans="1:7" ht="15.75" customHeight="1" x14ac:dyDescent="0.2">
      <c r="A53" s="6"/>
      <c r="B53" s="6"/>
      <c r="C53" s="6"/>
      <c r="E53" s="6"/>
      <c r="G53" s="6"/>
    </row>
    <row r="54" spans="1:7" ht="15.75" customHeight="1" x14ac:dyDescent="0.2">
      <c r="A54" s="6"/>
      <c r="B54" s="6"/>
      <c r="C54" s="6"/>
      <c r="E54" s="6"/>
      <c r="G54" s="6"/>
    </row>
    <row r="55" spans="1:7" ht="15.75" customHeight="1" x14ac:dyDescent="0.2">
      <c r="A55" s="6"/>
      <c r="B55" s="6"/>
      <c r="C55" s="6"/>
      <c r="E55" s="6"/>
      <c r="G55" s="6"/>
    </row>
    <row r="56" spans="1:7" ht="15.75" customHeight="1" x14ac:dyDescent="0.2">
      <c r="A56" s="6"/>
      <c r="B56" s="6"/>
      <c r="C56" s="6"/>
      <c r="E56" s="6"/>
      <c r="G56" s="6"/>
    </row>
    <row r="57" spans="1:7" ht="15.75" customHeight="1" x14ac:dyDescent="0.2">
      <c r="A57" s="6"/>
      <c r="B57" s="6"/>
      <c r="C57" s="6"/>
      <c r="E57" s="6"/>
      <c r="G57" s="6"/>
    </row>
    <row r="58" spans="1:7" ht="15.75" customHeight="1" x14ac:dyDescent="0.2">
      <c r="A58" s="6"/>
      <c r="B58" s="6"/>
      <c r="C58" s="6"/>
      <c r="E58" s="6"/>
      <c r="G58" s="6"/>
    </row>
    <row r="59" spans="1:7" ht="15.75" customHeight="1" x14ac:dyDescent="0.2">
      <c r="A59" s="6"/>
      <c r="B59" s="6"/>
      <c r="C59" s="6"/>
      <c r="E59" s="6"/>
      <c r="G59" s="6"/>
    </row>
    <row r="60" spans="1:7" ht="15.75" customHeight="1" x14ac:dyDescent="0.2">
      <c r="A60" s="6"/>
      <c r="B60" s="6"/>
      <c r="C60" s="6"/>
      <c r="E60" s="6"/>
      <c r="G60" s="6"/>
    </row>
    <row r="61" spans="1:7" ht="15.75" customHeight="1" x14ac:dyDescent="0.2">
      <c r="A61" s="6"/>
      <c r="B61" s="6"/>
      <c r="C61" s="6"/>
      <c r="E61" s="6"/>
      <c r="G61" s="6"/>
    </row>
  </sheetData>
  <conditionalFormatting sqref="D3:D5">
    <cfRule type="containsText" dxfId="9" priority="9" operator="containsText" text="Low">
      <formula>NOT(ISERROR(SEARCH("Low",D3)))</formula>
    </cfRule>
    <cfRule type="containsText" dxfId="8" priority="10" operator="containsText" text="Medium">
      <formula>NOT(ISERROR(SEARCH("Medium",D3)))</formula>
    </cfRule>
    <cfRule type="containsText" dxfId="7" priority="11" operator="containsText" text="High">
      <formula>NOT(ISERROR(SEARCH("High",D3)))</formula>
    </cfRule>
  </conditionalFormatting>
  <conditionalFormatting sqref="F3:F11">
    <cfRule type="containsText" dxfId="6" priority="2" operator="containsText" text="Approved">
      <formula>NOT(ISERROR(SEARCH("Approved",F3)))</formula>
    </cfRule>
    <cfRule type="containsText" dxfId="5" priority="3" operator="containsText" text="Needs Review">
      <formula>NOT(ISERROR(SEARCH("Needs Review",F3)))</formula>
    </cfRule>
    <cfRule type="containsText" dxfId="4" priority="4" operator="containsText" text="Not Started">
      <formula>NOT(ISERROR(SEARCH("Not Started",F3)))</formula>
    </cfRule>
    <cfRule type="containsText" dxfId="3" priority="5" operator="containsText" text="On Hold">
      <formula>NOT(ISERROR(SEARCH("On Hold",F3)))</formula>
    </cfRule>
    <cfRule type="containsText" dxfId="2" priority="6" operator="containsText" text="Overdue">
      <formula>NOT(ISERROR(SEARCH("Overdue",F3)))</formula>
    </cfRule>
    <cfRule type="containsText" dxfId="1" priority="7" operator="containsText" text="Complete">
      <formula>NOT(ISERROR(SEARCH("Complete",F3)))</formula>
    </cfRule>
    <cfRule type="containsText" dxfId="0" priority="8" operator="containsText" text="In Progress">
      <formula>NOT(ISERROR(SEARCH("In Progress",F3)))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Presupuesto del proyecto</vt:lpstr>
      <vt:lpstr>listas desplegables</vt:lpstr>
      <vt:lpstr>Presupuesto del proyecto!Área_de_impresión</vt:lpstr>
      <vt:lpstr>Status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Bess</dc:creator>
  <dc:description/>
  <cp:lastModifiedBy>SERGIO ESTEBAN GALVIS MARIN</cp:lastModifiedBy>
  <cp:revision>0</cp:revision>
  <cp:lastPrinted>2022-01-31T23:51:04Z</cp:lastPrinted>
  <dcterms:created xsi:type="dcterms:W3CDTF">2015-08-28T20:34:30Z</dcterms:created>
  <dcterms:modified xsi:type="dcterms:W3CDTF">2026-08-26T03:49:11Z</dcterms:modified>
  <dc:language>en-US</dc:language>
</cp:coreProperties>
</file>